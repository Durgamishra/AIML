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e889d5051bb0329/ドキュメント/AIML/RoadMap/"/>
    </mc:Choice>
  </mc:AlternateContent>
  <xr:revisionPtr revIDLastSave="9" documentId="11_0FB22D5A0AE9A8480E28AC64B768C8CE979C262B" xr6:coauthVersionLast="47" xr6:coauthVersionMax="47" xr10:uidLastSave="{7525A842-6B29-47D7-96BC-7E696F49B316}"/>
  <bookViews>
    <workbookView xWindow="-20610" yWindow="855" windowWidth="20730" windowHeight="11760" activeTab="1" xr2:uid="{00000000-000D-0000-FFFF-FFFF00000000}"/>
  </bookViews>
  <sheets>
    <sheet name="Dashboard" sheetId="1" r:id="rId1"/>
    <sheet name="Daily Tracker" sheetId="2" r:id="rId2"/>
    <sheet name="Roadmap" sheetId="3" r:id="rId3"/>
    <sheet name="Resources" sheetId="4" r:id="rId4"/>
    <sheet name="YouTube Resources" sheetId="5" r:id="rId5"/>
  </sheets>
  <definedNames>
    <definedName name="_xlnm._FilterDatabase" localSheetId="1" hidden="1">'Daily Tracker'!$A$1:$L$181</definedName>
    <definedName name="_xlnm._FilterDatabase" localSheetId="0" hidden="1">Dashboard!$A$1:$B$8</definedName>
    <definedName name="_xlnm._FilterDatabase" localSheetId="3" hidden="1">Resources!$A$1:$B$10</definedName>
    <definedName name="_xlnm._FilterDatabase" localSheetId="2" hidden="1">Roadmap!$A$1:$D$9</definedName>
    <definedName name="_xlnm._FilterDatabase" localSheetId="4" hidden="1">'YouTube Resources'!$A$1:$E$19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3" i="1"/>
  <c r="B4" i="1" s="1"/>
</calcChain>
</file>

<file path=xl/sharedStrings.xml><?xml version="1.0" encoding="utf-8"?>
<sst xmlns="http://schemas.openxmlformats.org/spreadsheetml/2006/main" count="1403" uniqueCount="502">
  <si>
    <t>Resource</t>
  </si>
  <si>
    <t>Day</t>
  </si>
  <si>
    <t>Phase</t>
  </si>
  <si>
    <t>Metric</t>
  </si>
  <si>
    <t>URL</t>
  </si>
  <si>
    <t>Python</t>
  </si>
  <si>
    <t>https://cs50.harvard.edu/python/</t>
  </si>
  <si>
    <t>Git</t>
  </si>
  <si>
    <t>https://docs.github.com/en/get-started/learning-to-code/getting-started-with-git</t>
  </si>
  <si>
    <t>SQL</t>
  </si>
  <si>
    <t>https://sqlbolt.com/</t>
  </si>
  <si>
    <t>Date</t>
  </si>
  <si>
    <t>ML</t>
  </si>
  <si>
    <t>https://www.deeplearning.ai/specializations/machine-learning/</t>
  </si>
  <si>
    <t>DL</t>
  </si>
  <si>
    <t>https://www.deeplearning.ai/specializations/deep-learning/</t>
  </si>
  <si>
    <t>Track</t>
  </si>
  <si>
    <t>Days</t>
  </si>
  <si>
    <t>Topic</t>
  </si>
  <si>
    <t>Focus</t>
  </si>
  <si>
    <t>Daily Task / Deliverable</t>
  </si>
  <si>
    <t>Exit Criteria</t>
  </si>
  <si>
    <t>Value</t>
  </si>
  <si>
    <t>PyTorch</t>
  </si>
  <si>
    <t>https://www.deeplearning.ai/specializations/pytorch-for-deep-learning-professional-certificate</t>
  </si>
  <si>
    <t>YouTube Lecture</t>
  </si>
  <si>
    <t>HF</t>
  </si>
  <si>
    <t>Phase 1 — Coding Foundations</t>
  </si>
  <si>
    <t>Total Days</t>
  </si>
  <si>
    <t>https://huggingface.co/learn/llm-course/</t>
  </si>
  <si>
    <t>MadeWithML</t>
  </si>
  <si>
    <t>Python + Git + programming thinking</t>
  </si>
  <si>
    <t>https://madewithml.com/</t>
  </si>
  <si>
    <t>Can build/test/debug Python programs independently</t>
  </si>
  <si>
    <t>Completed Days</t>
  </si>
  <si>
    <t>DLAI</t>
  </si>
  <si>
    <t>Phase 2 — CS + Software Engineering</t>
  </si>
  <si>
    <t>https://www.deeplearning.ai/courses/</t>
  </si>
  <si>
    <t>DSA + SQL + APIs + backend + Docker</t>
  </si>
  <si>
    <t>Can reason about complexity, data, APIs and services</t>
  </si>
  <si>
    <t>Phase 3 — Math + Data</t>
  </si>
  <si>
    <t>Linear algebra + probability + NumPy/Pandas</t>
  </si>
  <si>
    <t>Can manipulate data and explain core ML math</t>
  </si>
  <si>
    <t>Phase 4 — Machine Learning</t>
  </si>
  <si>
    <t>Classical ML + evaluation + deployment</t>
  </si>
  <si>
    <t>Can train, evaluate and deploy classical ML models</t>
  </si>
  <si>
    <t>Phase 5 — Deep Learning + PyTorch</t>
  </si>
  <si>
    <t>Deep learning + PyTorch + Transformers</t>
  </si>
  <si>
    <t>Status</t>
  </si>
  <si>
    <t>Can build/train/fine-tune DL models with PyTorch</t>
  </si>
  <si>
    <t>Hours Planned</t>
  </si>
  <si>
    <t>Phase 6 — LLM Engineering</t>
  </si>
  <si>
    <t>LLMs + embeddings + RAG + evaluation</t>
  </si>
  <si>
    <t>Hours Actual</t>
  </si>
  <si>
    <t>Can build reliable RAG/LLM applications</t>
  </si>
  <si>
    <t>Confidence (1-5)</t>
  </si>
  <si>
    <t>Phase 7 — Production AI + Agents</t>
  </si>
  <si>
    <t>Notes</t>
  </si>
  <si>
    <t>Agents + MLOps + production AI</t>
  </si>
  <si>
    <t>Can build and operate tool-using AI systems</t>
  </si>
  <si>
    <t>Phase 8 — Portfolio + Interview</t>
  </si>
  <si>
    <t>Portfolio + interview readiness</t>
  </si>
  <si>
    <t>3 strong projects + resume + interview readiness</t>
  </si>
  <si>
    <t>Environment, VS Code, terminal, print, variables</t>
  </si>
  <si>
    <t>Install Python/VS Code; write 5 tiny programs</t>
  </si>
  <si>
    <t>https://www.youtube.com/playlist?list=PLhQjrBD2T3817j24-GogXmWqO5Q5vYy0V</t>
  </si>
  <si>
    <t>Not Started</t>
  </si>
  <si>
    <t>Functions, arguments, return values</t>
  </si>
  <si>
    <t>Solve 10 function exercises</t>
  </si>
  <si>
    <t>Strings and formatting</t>
  </si>
  <si>
    <t>Build a text formatter</t>
  </si>
  <si>
    <t>Completion %</t>
  </si>
  <si>
    <t>Numbers, booleans, comparisons</t>
  </si>
  <si>
    <t>Build calculator + unit converter</t>
  </si>
  <si>
    <t>Conditionals</t>
  </si>
  <si>
    <t>Build grade/eligibility checker</t>
  </si>
  <si>
    <t>Loops: for/while</t>
  </si>
  <si>
    <t>Solve 15 loop problems</t>
  </si>
  <si>
    <t>Target Hours</t>
  </si>
  <si>
    <t>Lists and tuples</t>
  </si>
  <si>
    <t>Build list statistics program</t>
  </si>
  <si>
    <t>Dictionaries and sets</t>
  </si>
  <si>
    <t>Build frequency counter</t>
  </si>
  <si>
    <t>Comprehensions</t>
  </si>
  <si>
    <t>Rewrite 10 loops as comprehensions</t>
  </si>
  <si>
    <t>Actual Hours</t>
  </si>
  <si>
    <t>Exceptions</t>
  </si>
  <si>
    <t>Add validation/error handling to prior projects</t>
  </si>
  <si>
    <t>Modules and packages</t>
  </si>
  <si>
    <t>Split a project into modules</t>
  </si>
  <si>
    <t>Projects / Capstones</t>
  </si>
  <si>
    <t>Current Streak</t>
  </si>
  <si>
    <t>File I/O</t>
  </si>
  <si>
    <t>Build CSV reader/writer</t>
  </si>
  <si>
    <t>Track manually</t>
  </si>
  <si>
    <t>JSON</t>
  </si>
  <si>
    <t>Build JSON config loader</t>
  </si>
  <si>
    <t>Regular expressions</t>
  </si>
  <si>
    <t>Extract emails/phone numbers from text</t>
  </si>
  <si>
    <t>Classes and objects</t>
  </si>
  <si>
    <t>Model Student/Course objects</t>
  </si>
  <si>
    <t>OOP inheritance/composition</t>
  </si>
  <si>
    <t>Refactor previous project with classes</t>
  </si>
  <si>
    <t>Testing with pytest</t>
  </si>
  <si>
    <t>Write tests for 3 functions</t>
  </si>
  <si>
    <t>Debugging</t>
  </si>
  <si>
    <t>Debug 5 intentionally broken programs</t>
  </si>
  <si>
    <t>HTTP/API basics</t>
  </si>
  <si>
    <t>Call a public API with Python</t>
  </si>
  <si>
    <t>requests + API errors</t>
  </si>
  <si>
    <t>Build weather/API CLI</t>
  </si>
  <si>
    <t>Problem solving</t>
  </si>
  <si>
    <t>20 easy coding problems</t>
  </si>
  <si>
    <t>20 more problems; focus on patterns</t>
  </si>
  <si>
    <t>Data structures</t>
  </si>
  <si>
    <t>Implement stack, queue, hashmap basics</t>
  </si>
  <si>
    <t>Algorithms</t>
  </si>
  <si>
    <t>Implement binary search + sorting</t>
  </si>
  <si>
    <t>Git init/add/commit/status/log</t>
  </si>
  <si>
    <t>Create first Git repo</t>
  </si>
  <si>
    <t>https://www.youtube.com/watch?v=RGOj5yH7evk</t>
  </si>
  <si>
    <t>Branches and merges</t>
  </si>
  <si>
    <t>Practice 5 branch/merge scenarios</t>
  </si>
  <si>
    <t>GitHub</t>
  </si>
  <si>
    <t>Push 2 projects; write README</t>
  </si>
  <si>
    <t>Pull requests/issues</t>
  </si>
  <si>
    <t>Create issue + PR on your repo</t>
  </si>
  <si>
    <t>Mini-project planning</t>
  </si>
  <si>
    <t>Design CLI expense tracker</t>
  </si>
  <si>
    <t>Mini-project build</t>
  </si>
  <si>
    <t>Finish + test + publish expense tracker</t>
  </si>
  <si>
    <t>CS</t>
  </si>
  <si>
    <t>Big-O notation</t>
  </si>
  <si>
    <t>Analyze 20 code snippets</t>
  </si>
  <si>
    <t>https://cs50.harvard.edu/college/2026/fall/weeks/</t>
  </si>
  <si>
    <t>DSA</t>
  </si>
  <si>
    <t>Arrays/strings</t>
  </si>
  <si>
    <t>20 pattern problems</t>
  </si>
  <si>
    <t>https://www.youtube.com/watch?v=8hly31xKli0</t>
  </si>
  <si>
    <t>Hashing</t>
  </si>
  <si>
    <t>15 hash-map/set problems</t>
  </si>
  <si>
    <t>Two pointers</t>
  </si>
  <si>
    <t>15 problems</t>
  </si>
  <si>
    <t>Sliding window</t>
  </si>
  <si>
    <t>Stack/queue</t>
  </si>
  <si>
    <t>Linked lists</t>
  </si>
  <si>
    <t>10 problems + implement list</t>
  </si>
  <si>
    <t>Trees/BST</t>
  </si>
  <si>
    <t>10 problems + traversal implementations</t>
  </si>
  <si>
    <t>Heaps</t>
  </si>
  <si>
    <t>10 problems + heap implementation</t>
  </si>
  <si>
    <t>YouTube Lecture / Playlist</t>
  </si>
  <si>
    <t>Link</t>
  </si>
  <si>
    <t>How to Use</t>
  </si>
  <si>
    <t>Graphs</t>
  </si>
  <si>
    <t>Phase 1</t>
  </si>
  <si>
    <t>BFS/DFS + 10 problems</t>
  </si>
  <si>
    <t>CS50P — Lecture 0: Functions, Variables</t>
  </si>
  <si>
    <t>https://www.youtube.com/watch?v=JP7ITIXGpHk</t>
  </si>
  <si>
    <t>Use for Days 1–5; continue with the official CS50P lecture sequence.</t>
  </si>
  <si>
    <t>CS50P — Official YouTube playlist</t>
  </si>
  <si>
    <t>Primary lecture series for Python fundamentals.</t>
  </si>
  <si>
    <t>Recursion/backtracking</t>
  </si>
  <si>
    <t>10 problems</t>
  </si>
  <si>
    <t>Phase 2</t>
  </si>
  <si>
    <t>SQL and Databases — Full Course for Beginners</t>
  </si>
  <si>
    <t>https://www.youtube.com/watch?v=HXV3zeQKqGY</t>
  </si>
  <si>
    <t>Use for SQL/database fundamentals alongside SQLBolt.</t>
  </si>
  <si>
    <t>freeCodeCamp — Data Structures &amp; Algorithms</t>
  </si>
  <si>
    <t>Use selectively for DSA concepts; solve problems after each topic.</t>
  </si>
  <si>
    <t>Sorting</t>
  </si>
  <si>
    <t>Implement merge/quick sort; compare complexity</t>
  </si>
  <si>
    <t>Git &amp; GitHub for Beginners</t>
  </si>
  <si>
    <t>Use for Git/GitHub workflow.</t>
  </si>
  <si>
    <t>Phase 3</t>
  </si>
  <si>
    <t>Math</t>
  </si>
  <si>
    <t>Mathematics for Machine Learning — Full Course</t>
  </si>
  <si>
    <t>https://www.youtube.com/watch?v=T3TpdPmTLso</t>
  </si>
  <si>
    <t>Use selectively for vectors, matrices, probability and calculus.</t>
  </si>
  <si>
    <t>Binary search</t>
  </si>
  <si>
    <t>NumPy/Pandas</t>
  </si>
  <si>
    <t>Data Analysis with Python — Full Course</t>
  </si>
  <si>
    <t>https://www.youtube.com/watch?v=r-uOLxNrNk8</t>
  </si>
  <si>
    <t>Use for NumPy, Pandas and practical data analysis.</t>
  </si>
  <si>
    <t>Phase 4</t>
  </si>
  <si>
    <t>Machine Learning</t>
  </si>
  <si>
    <t>Stanford CS229 — Machine Learning Lecture 1</t>
  </si>
  <si>
    <t>https://www.youtube.com/watch?v=jGwO_UgTS7I</t>
  </si>
  <si>
    <t>Deep conceptual ML lectures; use after the beginner ML course.</t>
  </si>
  <si>
    <t>Andrew Ng — Machine Learning playlist</t>
  </si>
  <si>
    <t>https://www.youtube.com/playlist?list=PLLssT5z_DsK-h9vYZkQkYNWcItqhlRJLN</t>
  </si>
  <si>
    <t>Dynamic programming intro</t>
  </si>
  <si>
    <t>Supplementary ML lecture series.</t>
  </si>
  <si>
    <t>5 classic problems</t>
  </si>
  <si>
    <t>Phase 5</t>
  </si>
  <si>
    <t>Deep Learning</t>
  </si>
  <si>
    <t>Deep Learning — Neural Networks / Andrew Ng</t>
  </si>
  <si>
    <t>https://www.youtube.com/watch?v=CS4cs9xVecg</t>
  </si>
  <si>
    <t>Conceptual introduction before/alongside the Deep Learning Specialization.</t>
  </si>
  <si>
    <t>SELECT, WHERE, ORDER BY</t>
  </si>
  <si>
    <t>Complete SQLBolt lessons 1–5</t>
  </si>
  <si>
    <t>PyTorch for Deep Learning — Full Course</t>
  </si>
  <si>
    <t>https://www.youtube.com/watch?v=V_xro1bcAuA</t>
  </si>
  <si>
    <t>Practical PyTorch; use for tensors, datasets, training and projects.</t>
  </si>
  <si>
    <t>Transformers</t>
  </si>
  <si>
    <t>Hugging Face — Transformers Course</t>
  </si>
  <si>
    <t>https://huggingface.co/learn/llm-course/chapter1/1</t>
  </si>
  <si>
    <t>Use as the main structured resource for Transformers.</t>
  </si>
  <si>
    <t>Phase 6</t>
  </si>
  <si>
    <t>LLMs</t>
  </si>
  <si>
    <t>JOINs</t>
  </si>
  <si>
    <t>Hugging Face LLM Course</t>
  </si>
  <si>
    <t>Complete JOIN lessons</t>
  </si>
  <si>
    <t>https://www.youtube.com/playlist?list=PLo2EIpI_JMQv4RaU-0XQ8e9vT7rY1K6fD</t>
  </si>
  <si>
    <t>Supplementary video learning; official course material is the source of truth.</t>
  </si>
  <si>
    <t>RAG</t>
  </si>
  <si>
    <t>Complete RAG Tutorial 2026 — from Scratch</t>
  </si>
  <si>
    <t>https://www.youtube.com/watch?v=QZc7a0y2x4E</t>
  </si>
  <si>
    <t>Use for the RAG phase; pair with implementation and evaluation.</t>
  </si>
  <si>
    <t>LLM Engineering</t>
  </si>
  <si>
    <t>Aggregations/GROUP BY</t>
  </si>
  <si>
    <t>Complete aggregate lessons</t>
  </si>
  <si>
    <t>DeepLearning.AI — LLM / Generative AI courses</t>
  </si>
  <si>
    <t>https://www.youtube.com/@Deeplearningai</t>
  </si>
  <si>
    <t>Use for short practical lectures on prompting, RAG, agents and evaluation.</t>
  </si>
  <si>
    <t>Phase 7</t>
  </si>
  <si>
    <t>Agents</t>
  </si>
  <si>
    <t>AI Agents Crash Course — Agentic &amp; Multi-Agent Design Patterns</t>
  </si>
  <si>
    <t>https://www.youtube.com/watch?v=Vv8JQx7Jp6Q</t>
  </si>
  <si>
    <t>Use for agent loops, tools and multi-agent patterns.</t>
  </si>
  <si>
    <t>AI Engineering</t>
  </si>
  <si>
    <t>INSERT/UPDATE/DELETE</t>
  </si>
  <si>
    <t>Made With ML — AI/ML Engineering</t>
  </si>
  <si>
    <t>Complete CRUD lessons</t>
  </si>
  <si>
    <t>https://www.youtube.com/@MadeWithML</t>
  </si>
  <si>
    <t>Use for production, testing, evaluation, deployment and MLOps.</t>
  </si>
  <si>
    <t>Phase 8</t>
  </si>
  <si>
    <t>Career</t>
  </si>
  <si>
    <t>AI Engineering / System Design practice</t>
  </si>
  <si>
    <t>https://www.youtube.com/@ByteByteGo</t>
  </si>
  <si>
    <t>Use selectively for system design and architecture thinking.</t>
  </si>
  <si>
    <t>DDL/schema design</t>
  </si>
  <si>
    <t>Create 3-table schema</t>
  </si>
  <si>
    <t>Subqueries/unions</t>
  </si>
  <si>
    <t>Complete intermediate SQL topics</t>
  </si>
  <si>
    <t>Indexes/transactions</t>
  </si>
  <si>
    <t>Learn concepts; write notes</t>
  </si>
  <si>
    <t>APIs</t>
  </si>
  <si>
    <t>REST, JSON, HTTP status codes</t>
  </si>
  <si>
    <t>Design 5 API endpoints</t>
  </si>
  <si>
    <t>https://www.youtube.com/@freecodecamp</t>
  </si>
  <si>
    <t>Backend</t>
  </si>
  <si>
    <t>FastAPI basics</t>
  </si>
  <si>
    <t>Build CRUD API</t>
  </si>
  <si>
    <t>Engineering</t>
  </si>
  <si>
    <t>Logging/config/env vars</t>
  </si>
  <si>
    <t>Productionize CRUD API</t>
  </si>
  <si>
    <t>Testing API</t>
  </si>
  <si>
    <t>Unit + integration tests</t>
  </si>
  <si>
    <t>Docker basics</t>
  </si>
  <si>
    <t>Containerize API</t>
  </si>
  <si>
    <t>Vectors</t>
  </si>
  <si>
    <t>Implement vector operations in NumPy</t>
  </si>
  <si>
    <t>Matrices</t>
  </si>
  <si>
    <t>Matrix multiplication + intuition</t>
  </si>
  <si>
    <t>Dot product/cosine similarity</t>
  </si>
  <si>
    <t>Build similarity calculator</t>
  </si>
  <si>
    <t>Probability basics</t>
  </si>
  <si>
    <t>Solve 20 probability questions</t>
  </si>
  <si>
    <t>Distributions</t>
  </si>
  <si>
    <t>Simulate normal/binomial distributions</t>
  </si>
  <si>
    <t>Mean/variance/std</t>
  </si>
  <si>
    <t>Implement from scratch + NumPy</t>
  </si>
  <si>
    <t>Correlation/covariance</t>
  </si>
  <si>
    <t>Analyze a small dataset</t>
  </si>
  <si>
    <t>Derivatives</t>
  </si>
  <si>
    <t>Understand slope/gradient visually</t>
  </si>
  <si>
    <t>Gradient descent</t>
  </si>
  <si>
    <t>Implement 1D gradient descent</t>
  </si>
  <si>
    <t>Partial derivatives</t>
  </si>
  <si>
    <t>Work through simple multivariable examples</t>
  </si>
  <si>
    <t>NumPy</t>
  </si>
  <si>
    <t>Arrays/indexing</t>
  </si>
  <si>
    <t>Complete NumPy exercises</t>
  </si>
  <si>
    <t>Pandas</t>
  </si>
  <si>
    <t>DataFrames</t>
  </si>
  <si>
    <t>Load/clean/analyze CSV</t>
  </si>
  <si>
    <t>Groupby/merge</t>
  </si>
  <si>
    <t>Analyze dataset</t>
  </si>
  <si>
    <t>Visualization</t>
  </si>
  <si>
    <t>Matplotlib</t>
  </si>
  <si>
    <t>Create 5 useful charts</t>
  </si>
  <si>
    <t>Data</t>
  </si>
  <si>
    <t>Cleaning/missing values</t>
  </si>
  <si>
    <t>Clean messy dataset</t>
  </si>
  <si>
    <t>Train/test split</t>
  </si>
  <si>
    <t>Practice with dataset</t>
  </si>
  <si>
    <t>Feature engineering</t>
  </si>
  <si>
    <t>Create useful features</t>
  </si>
  <si>
    <t>Evaluation metrics</t>
  </si>
  <si>
    <t>Compare accuracy/precision/recall/F1</t>
  </si>
  <si>
    <t>Data leakage/overfitting</t>
  </si>
  <si>
    <t>Write checklist + examples</t>
  </si>
  <si>
    <t>Project</t>
  </si>
  <si>
    <t>EDA project</t>
  </si>
  <si>
    <t>Analyze a real dataset end-to-end</t>
  </si>
  <si>
    <t>ML workflow</t>
  </si>
  <si>
    <t>Start Andrew Ng ML course</t>
  </si>
  <si>
    <t>Linear regression</t>
  </si>
  <si>
    <t>Implement + use sklearn</t>
  </si>
  <si>
    <t>Implement regression from scratch</t>
  </si>
  <si>
    <t>Multiple regression</t>
  </si>
  <si>
    <t>Train/evaluate model</t>
  </si>
  <si>
    <t>Logistic regression</t>
  </si>
  <si>
    <t>Build binary classifier</t>
  </si>
  <si>
    <t>Regularization</t>
  </si>
  <si>
    <t>Compare L1/L2</t>
  </si>
  <si>
    <t>Classification metrics</t>
  </si>
  <si>
    <t>ROC-AUC, PR curve, confusion matrix</t>
  </si>
  <si>
    <t>Decision trees</t>
  </si>
  <si>
    <t>Train and visualize</t>
  </si>
  <si>
    <t>Random forests</t>
  </si>
  <si>
    <t>Compare with tree</t>
  </si>
  <si>
    <t>Boosting/XGBoost</t>
  </si>
  <si>
    <t>Train boosted model</t>
  </si>
  <si>
    <t>Cross-validation</t>
  </si>
  <si>
    <t>Implement evaluation pipeline</t>
  </si>
  <si>
    <t>Hyperparameter tuning</t>
  </si>
  <si>
    <t>Grid/random search</t>
  </si>
  <si>
    <t>Feature scaling</t>
  </si>
  <si>
    <t>Compare scaled/unscaled models</t>
  </si>
  <si>
    <t>Clustering</t>
  </si>
  <si>
    <t>K-means project</t>
  </si>
  <si>
    <t>PCA</t>
  </si>
  <si>
    <t>Dimensionality reduction experiment</t>
  </si>
  <si>
    <t>Anomaly detection</t>
  </si>
  <si>
    <t>Build simple detector</t>
  </si>
  <si>
    <t>Recommenders</t>
  </si>
  <si>
    <t>Understand collaborative filtering</t>
  </si>
  <si>
    <t>Model selection</t>
  </si>
  <si>
    <t>Create model comparison table</t>
  </si>
  <si>
    <t>Explainability</t>
  </si>
  <si>
    <t>Feature importance/SHAP concept</t>
  </si>
  <si>
    <t>Model persistence</t>
  </si>
  <si>
    <t>Save/load model</t>
  </si>
  <si>
    <t>ML project</t>
  </si>
  <si>
    <t>Build prediction/classification app</t>
  </si>
  <si>
    <t>ML API</t>
  </si>
  <si>
    <t>Serve model through FastAPI</t>
  </si>
  <si>
    <t>Docker ML</t>
  </si>
  <si>
    <t>Containerize model API</t>
  </si>
  <si>
    <t>Evaluation</t>
  </si>
  <si>
    <t>Write model card + error analysis</t>
  </si>
  <si>
    <t>Deploy</t>
  </si>
  <si>
    <t>Deploy project to a cloud platform</t>
  </si>
  <si>
    <t>Review</t>
  </si>
  <si>
    <t>ML revision</t>
  </si>
  <si>
    <t>Explain 20 concepts without notes</t>
  </si>
  <si>
    <t>ML interview</t>
  </si>
  <si>
    <t>Answer 30 ML questions</t>
  </si>
  <si>
    <t>ML debugging</t>
  </si>
  <si>
    <t>Diagnose 5 bad models</t>
  </si>
  <si>
    <t>Portfolio</t>
  </si>
  <si>
    <t>Document ML project</t>
  </si>
  <si>
    <t>Neural network intuition</t>
  </si>
  <si>
    <t>Learn neurons/activations</t>
  </si>
  <si>
    <t>Perceptron</t>
  </si>
  <si>
    <t>Implement simple perceptron</t>
  </si>
  <si>
    <t>Forward propagation</t>
  </si>
  <si>
    <t>Implement tiny network</t>
  </si>
  <si>
    <t>Backpropagation</t>
  </si>
  <si>
    <t>Derive intuition + code</t>
  </si>
  <si>
    <t>Loss functions</t>
  </si>
  <si>
    <t>Compare common losses</t>
  </si>
  <si>
    <t>Optimizers</t>
  </si>
  <si>
    <t>SGD/Adam intuition</t>
  </si>
  <si>
    <t>PyTorch tensors</t>
  </si>
  <si>
    <t>Complete PyTorch basics</t>
  </si>
  <si>
    <t>Datasets/dataloaders</t>
  </si>
  <si>
    <t>Build data pipeline</t>
  </si>
  <si>
    <t>Training loop</t>
  </si>
  <si>
    <t>Write loop from scratch</t>
  </si>
  <si>
    <t>Validation/checkpoints</t>
  </si>
  <si>
    <t>Add evaluation + saving</t>
  </si>
  <si>
    <t>CNNs</t>
  </si>
  <si>
    <t>Build image classifier</t>
  </si>
  <si>
    <t>Transfer learning</t>
  </si>
  <si>
    <t>Fine-tune pretrained vision model</t>
  </si>
  <si>
    <t>Embeddings</t>
  </si>
  <si>
    <t>Understand learned representations</t>
  </si>
  <si>
    <t>NLP</t>
  </si>
  <si>
    <t>Tokenization</t>
  </si>
  <si>
    <t>Experiment with tokenization</t>
  </si>
  <si>
    <t>RNN/LSTM concepts</t>
  </si>
  <si>
    <t>Understand historical sequence models</t>
  </si>
  <si>
    <t>Attention</t>
  </si>
  <si>
    <t>Understand attention step-by-step</t>
  </si>
  <si>
    <t>Learn encoder/decoder architecture</t>
  </si>
  <si>
    <t>Self-attention</t>
  </si>
  <si>
    <t>Implement toy attention</t>
  </si>
  <si>
    <t>Fine-tuning</t>
  </si>
  <si>
    <t>Fine-tune a pretrained model</t>
  </si>
  <si>
    <t>Deployment</t>
  </si>
  <si>
    <t>ONNX/optimization</t>
  </si>
  <si>
    <t>Learn quantization/pruning concepts</t>
  </si>
  <si>
    <t>Vision project</t>
  </si>
  <si>
    <t>Train/fine-tune image model</t>
  </si>
  <si>
    <t>NLP project</t>
  </si>
  <si>
    <t>Text classification with pretrained model</t>
  </si>
  <si>
    <t>Deep learning revision</t>
  </si>
  <si>
    <t>Explain backprop/attention/transformers</t>
  </si>
  <si>
    <t>DL writeup</t>
  </si>
  <si>
    <t>Document experiments and results</t>
  </si>
  <si>
    <t>LLM</t>
  </si>
  <si>
    <t>Tokens/context windows</t>
  </si>
  <si>
    <t>Explain tokens and context</t>
  </si>
  <si>
    <t>Build semantic similarity demo</t>
  </si>
  <si>
    <t>Read HF transformer workflow</t>
  </si>
  <si>
    <t>Prompting</t>
  </si>
  <si>
    <t>Build prompt test set</t>
  </si>
  <si>
    <t>Structured outputs</t>
  </si>
  <si>
    <t>Build JSON-output application</t>
  </si>
  <si>
    <t>Function/tool calling</t>
  </si>
  <si>
    <t>Connect LLM to calculator/API</t>
  </si>
  <si>
    <t>RAG architecture</t>
  </si>
  <si>
    <t>Draw and explain RAG</t>
  </si>
  <si>
    <t>Chunking</t>
  </si>
  <si>
    <t>Test 3 chunking strategies</t>
  </si>
  <si>
    <t>Embeddings + vector search</t>
  </si>
  <si>
    <t>Build semantic search</t>
  </si>
  <si>
    <t>Retriever evaluation</t>
  </si>
  <si>
    <t>Measure retrieval quality</t>
  </si>
  <si>
    <t>Reranking</t>
  </si>
  <si>
    <t>Understand rerankers</t>
  </si>
  <si>
    <t>Grounding/citations</t>
  </si>
  <si>
    <t>Build cited RAG app</t>
  </si>
  <si>
    <t>PDF ingestion</t>
  </si>
  <si>
    <t>Build PDF Q&amp;A</t>
  </si>
  <si>
    <t>Hybrid search</t>
  </si>
  <si>
    <t>Combine keyword + semantic search</t>
  </si>
  <si>
    <t>Hallucinations</t>
  </si>
  <si>
    <t>Create failure test set</t>
  </si>
  <si>
    <t>Build 20-question eval dataset</t>
  </si>
  <si>
    <t>Latency/cost</t>
  </si>
  <si>
    <t>Measure token usage and latency</t>
  </si>
  <si>
    <t>Guardrails</t>
  </si>
  <si>
    <t>Add input/output validation</t>
  </si>
  <si>
    <t>Fine-tuning vs RAG</t>
  </si>
  <si>
    <t>Decision framework</t>
  </si>
  <si>
    <t>RAG v1</t>
  </si>
  <si>
    <t>Build document assistant</t>
  </si>
  <si>
    <t>RAG v2</t>
  </si>
  <si>
    <t>Add citations/evaluation</t>
  </si>
  <si>
    <t>RAG v3</t>
  </si>
  <si>
    <t>Deploy and document</t>
  </si>
  <si>
    <t>LLM interview</t>
  </si>
  <si>
    <t>Answer 30 LLM questions</t>
  </si>
  <si>
    <t>LLM writeup</t>
  </si>
  <si>
    <t>Publish architecture + lessons</t>
  </si>
  <si>
    <t>Agent loop</t>
  </si>
  <si>
    <t>Understand observe/think/act</t>
  </si>
  <si>
    <t>Tool registry</t>
  </si>
  <si>
    <t>Build 3 tools</t>
  </si>
  <si>
    <t>Memory</t>
  </si>
  <si>
    <t>Add short/long-term memory concept</t>
  </si>
  <si>
    <t>Planning</t>
  </si>
  <si>
    <t>Build multi-step workflow</t>
  </si>
  <si>
    <t>Multi-agent</t>
  </si>
  <si>
    <t>Experiment with specialist agents</t>
  </si>
  <si>
    <t>Human-in-loop</t>
  </si>
  <si>
    <t>Add approval step</t>
  </si>
  <si>
    <t>Reliability</t>
  </si>
  <si>
    <t>Retries/timeouts/fallbacks</t>
  </si>
  <si>
    <t>MLOps</t>
  </si>
  <si>
    <t>Tracing/observability</t>
  </si>
  <si>
    <t>Log model/tool calls</t>
  </si>
  <si>
    <t>Evaluation in CI</t>
  </si>
  <si>
    <t>Run evals before deployment</t>
  </si>
  <si>
    <t>Security</t>
  </si>
  <si>
    <t>Prompt injection/data leakage basics</t>
  </si>
  <si>
    <t>Scaling</t>
  </si>
  <si>
    <t>Caching/queues/rate limits</t>
  </si>
  <si>
    <t>AI agent</t>
  </si>
  <si>
    <t>Build research/automation agent</t>
  </si>
  <si>
    <t>Agent evaluation</t>
  </si>
  <si>
    <t>Create task benchmark</t>
  </si>
  <si>
    <t>Productionize</t>
  </si>
  <si>
    <t>Docker + logging + tests</t>
  </si>
  <si>
    <t>Deploy AI agent</t>
  </si>
  <si>
    <t>Portfolio audit</t>
  </si>
  <si>
    <t>Select 3 strongest projects</t>
  </si>
  <si>
    <t>Resume/GitHub</t>
  </si>
  <si>
    <t>Rewrite around AI engineering outcomes</t>
  </si>
  <si>
    <t>System design</t>
  </si>
  <si>
    <t>Design an AI system end-to-end</t>
  </si>
  <si>
    <t>Interview</t>
  </si>
  <si>
    <t>Mock AI/ML/LLM interview</t>
  </si>
  <si>
    <t>Capstone</t>
  </si>
  <si>
    <t>Present final project + roadmap</t>
  </si>
  <si>
    <t>Catch-up + spaced revision + portfolio maintenance</t>
  </si>
  <si>
    <t>Complete missed work; revise weak areas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</si>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</sst>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2" xfId="0" applyFont="1" applyFill="1" applyBorder="1"/>
    <xf numFmtId="164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0" fontId="1" fillId="2" borderId="2" xfId="0" applyFont="1" applyFill="1" applyBorder="1" applyAlignment="1">
      <alignment horizontal="center" vertical="center"/>
    </xf>
    <xf numFmtId="0" fontId="4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playlist?list=PLhQjrBD2T3817j24-GogXmWqO5Q5vYy0V" TargetMode="External"/><Relationship Id="rId2" Type="http://schemas.openxmlformats.org/officeDocument/2006/relationships/hyperlink" Target="https://cs50.harvard.edu/python/" TargetMode="External"/><Relationship Id="rId1" Type="http://schemas.openxmlformats.org/officeDocument/2006/relationships/hyperlink" Target="https://cs50.harvard.edu/python/" TargetMode="External"/><Relationship Id="rId4" Type="http://schemas.openxmlformats.org/officeDocument/2006/relationships/hyperlink" Target="https://www.youtube.com/playlist?list=PLhQjrBD2T3817j24-GogXmWqO5Q5vYy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28" customWidth="1"/>
    <col min="2" max="2" width="22" customWidth="1"/>
    <col min="3" max="26" width="8.6640625" customWidth="1"/>
  </cols>
  <sheetData>
    <row r="1" spans="1:2" ht="14.4" x14ac:dyDescent="0.3">
      <c r="A1" s="1" t="s">
        <v>3</v>
      </c>
      <c r="B1" s="1" t="s">
        <v>22</v>
      </c>
    </row>
    <row r="2" spans="1:2" ht="14.4" x14ac:dyDescent="0.3">
      <c r="A2" s="2" t="s">
        <v>28</v>
      </c>
      <c r="B2" s="2">
        <v>180</v>
      </c>
    </row>
    <row r="3" spans="1:2" ht="14.4" x14ac:dyDescent="0.3">
      <c r="A3" s="2" t="s">
        <v>34</v>
      </c>
      <c r="B3" s="2">
        <f>COUNTIF('Daily Tracker'!I:I,"Done")</f>
        <v>4</v>
      </c>
    </row>
    <row r="4" spans="1:2" ht="14.4" x14ac:dyDescent="0.3">
      <c r="A4" s="2" t="s">
        <v>71</v>
      </c>
      <c r="B4" s="6">
        <f>B3/B2</f>
        <v>2.2222222222222223E-2</v>
      </c>
    </row>
    <row r="5" spans="1:2" ht="14.4" x14ac:dyDescent="0.3">
      <c r="A5" s="2" t="s">
        <v>78</v>
      </c>
      <c r="B5" s="2">
        <f>SUM('Daily Tracker'!J:J)</f>
        <v>465</v>
      </c>
    </row>
    <row r="6" spans="1:2" ht="14.4" x14ac:dyDescent="0.3">
      <c r="A6" s="2" t="s">
        <v>85</v>
      </c>
      <c r="B6" s="2">
        <f>SUM('Daily Tracker'!K:K)</f>
        <v>0</v>
      </c>
    </row>
    <row r="7" spans="1:2" ht="14.4" x14ac:dyDescent="0.3">
      <c r="A7" s="2" t="s">
        <v>90</v>
      </c>
      <c r="B7" s="2">
        <v>8</v>
      </c>
    </row>
    <row r="8" spans="1:2" ht="14.4" x14ac:dyDescent="0.3">
      <c r="A8" s="2" t="s">
        <v>91</v>
      </c>
      <c r="B8" s="2" t="s">
        <v>94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B8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topLeftCell="F1" workbookViewId="0">
      <pane ySplit="1" topLeftCell="A2" activePane="bottomLeft" state="frozen"/>
      <selection pane="bottomLeft" activeCell="I6" sqref="I6"/>
    </sheetView>
  </sheetViews>
  <sheetFormatPr defaultColWidth="14.44140625" defaultRowHeight="15" customHeight="1" x14ac:dyDescent="0.3"/>
  <cols>
    <col min="1" max="1" width="12" customWidth="1"/>
    <col min="2" max="2" width="21" customWidth="1"/>
    <col min="3" max="3" width="37" customWidth="1"/>
    <col min="4" max="4" width="13" customWidth="1"/>
    <col min="5" max="5" width="45" customWidth="1"/>
    <col min="6" max="6" width="50" customWidth="1"/>
    <col min="7" max="7" width="48" customWidth="1"/>
    <col min="8" max="8" width="65" customWidth="1"/>
    <col min="9" max="9" width="15" customWidth="1"/>
    <col min="10" max="10" width="14" customWidth="1"/>
    <col min="11" max="11" width="18" customWidth="1"/>
    <col min="12" max="12" width="35" customWidth="1"/>
    <col min="13" max="26" width="8.6640625" customWidth="1"/>
  </cols>
  <sheetData>
    <row r="1" spans="1:13" ht="14.4" x14ac:dyDescent="0.3">
      <c r="A1" s="1" t="s">
        <v>1</v>
      </c>
      <c r="B1" s="1" t="s">
        <v>11</v>
      </c>
      <c r="C1" s="1" t="s">
        <v>2</v>
      </c>
      <c r="D1" s="1" t="s">
        <v>16</v>
      </c>
      <c r="E1" s="1" t="s">
        <v>18</v>
      </c>
      <c r="F1" s="1" t="s">
        <v>20</v>
      </c>
      <c r="G1" s="1" t="s">
        <v>0</v>
      </c>
      <c r="H1" s="3" t="s">
        <v>25</v>
      </c>
      <c r="I1" s="1" t="s">
        <v>48</v>
      </c>
      <c r="J1" s="1" t="s">
        <v>50</v>
      </c>
      <c r="K1" s="1" t="s">
        <v>53</v>
      </c>
      <c r="L1" s="1" t="s">
        <v>55</v>
      </c>
      <c r="M1" s="1" t="s">
        <v>57</v>
      </c>
    </row>
    <row r="2" spans="1:13" ht="14.4" x14ac:dyDescent="0.3">
      <c r="A2" s="2">
        <v>1</v>
      </c>
      <c r="B2" s="4">
        <v>46301</v>
      </c>
      <c r="C2" s="2" t="s">
        <v>27</v>
      </c>
      <c r="D2" s="2" t="s">
        <v>5</v>
      </c>
      <c r="E2" s="2" t="s">
        <v>63</v>
      </c>
      <c r="F2" s="2" t="s">
        <v>64</v>
      </c>
      <c r="G2" s="8" t="s">
        <v>6</v>
      </c>
      <c r="H2" s="8" t="s">
        <v>65</v>
      </c>
      <c r="I2" s="2" t="s">
        <v>501</v>
      </c>
      <c r="J2" s="5">
        <v>2.5</v>
      </c>
      <c r="K2" s="5"/>
    </row>
    <row r="3" spans="1:13" ht="14.4" x14ac:dyDescent="0.3">
      <c r="A3" s="2">
        <v>2</v>
      </c>
      <c r="B3" s="4">
        <v>46302</v>
      </c>
      <c r="C3" s="2" t="s">
        <v>27</v>
      </c>
      <c r="D3" s="2" t="s">
        <v>5</v>
      </c>
      <c r="E3" s="2" t="s">
        <v>67</v>
      </c>
      <c r="F3" s="2" t="s">
        <v>68</v>
      </c>
      <c r="G3" s="8" t="s">
        <v>6</v>
      </c>
      <c r="H3" s="8" t="s">
        <v>65</v>
      </c>
      <c r="I3" s="2" t="s">
        <v>501</v>
      </c>
      <c r="J3" s="5">
        <v>2.5</v>
      </c>
      <c r="K3" s="5"/>
    </row>
    <row r="4" spans="1:13" ht="14.4" x14ac:dyDescent="0.3">
      <c r="A4" s="2">
        <v>3</v>
      </c>
      <c r="B4" s="4">
        <v>46303</v>
      </c>
      <c r="C4" s="2" t="s">
        <v>27</v>
      </c>
      <c r="D4" s="2" t="s">
        <v>5</v>
      </c>
      <c r="E4" s="2" t="s">
        <v>69</v>
      </c>
      <c r="F4" s="2" t="s">
        <v>70</v>
      </c>
      <c r="G4" s="2" t="s">
        <v>6</v>
      </c>
      <c r="H4" s="2" t="s">
        <v>65</v>
      </c>
      <c r="I4" s="2" t="s">
        <v>501</v>
      </c>
      <c r="J4" s="5">
        <v>2.5</v>
      </c>
      <c r="K4" s="5"/>
    </row>
    <row r="5" spans="1:13" ht="14.4" x14ac:dyDescent="0.3">
      <c r="A5" s="2">
        <v>4</v>
      </c>
      <c r="B5" s="4">
        <v>46304</v>
      </c>
      <c r="C5" s="2" t="s">
        <v>27</v>
      </c>
      <c r="D5" s="2" t="s">
        <v>5</v>
      </c>
      <c r="E5" s="2" t="s">
        <v>72</v>
      </c>
      <c r="F5" s="2" t="s">
        <v>73</v>
      </c>
      <c r="G5" s="2" t="s">
        <v>6</v>
      </c>
      <c r="H5" s="2" t="s">
        <v>65</v>
      </c>
      <c r="I5" s="2" t="s">
        <v>501</v>
      </c>
      <c r="J5" s="5">
        <v>2.5</v>
      </c>
      <c r="K5" s="5"/>
    </row>
    <row r="6" spans="1:13" ht="14.4" x14ac:dyDescent="0.3">
      <c r="A6" s="2">
        <v>5</v>
      </c>
      <c r="B6" s="4">
        <v>46305</v>
      </c>
      <c r="C6" s="2" t="s">
        <v>27</v>
      </c>
      <c r="D6" s="2" t="s">
        <v>5</v>
      </c>
      <c r="E6" s="2" t="s">
        <v>74</v>
      </c>
      <c r="F6" s="2" t="s">
        <v>75</v>
      </c>
      <c r="G6" s="2" t="s">
        <v>6</v>
      </c>
      <c r="H6" s="2" t="s">
        <v>65</v>
      </c>
      <c r="I6" s="2" t="s">
        <v>66</v>
      </c>
      <c r="J6" s="5">
        <v>2.5</v>
      </c>
      <c r="K6" s="5"/>
    </row>
    <row r="7" spans="1:13" ht="14.4" x14ac:dyDescent="0.3">
      <c r="A7" s="2">
        <v>6</v>
      </c>
      <c r="B7" s="4">
        <v>46306</v>
      </c>
      <c r="C7" s="2" t="s">
        <v>27</v>
      </c>
      <c r="D7" s="2" t="s">
        <v>5</v>
      </c>
      <c r="E7" s="2" t="s">
        <v>76</v>
      </c>
      <c r="F7" s="2" t="s">
        <v>77</v>
      </c>
      <c r="G7" s="2" t="s">
        <v>6</v>
      </c>
      <c r="H7" s="2" t="s">
        <v>65</v>
      </c>
      <c r="I7" s="2" t="s">
        <v>66</v>
      </c>
      <c r="J7" s="5">
        <v>2.5</v>
      </c>
      <c r="K7" s="5"/>
    </row>
    <row r="8" spans="1:13" ht="14.4" x14ac:dyDescent="0.3">
      <c r="A8" s="2">
        <v>7</v>
      </c>
      <c r="B8" s="4">
        <v>46307</v>
      </c>
      <c r="C8" s="2" t="s">
        <v>27</v>
      </c>
      <c r="D8" s="2" t="s">
        <v>5</v>
      </c>
      <c r="E8" s="2" t="s">
        <v>79</v>
      </c>
      <c r="F8" s="2" t="s">
        <v>80</v>
      </c>
      <c r="G8" s="2" t="s">
        <v>6</v>
      </c>
      <c r="H8" s="2" t="s">
        <v>65</v>
      </c>
      <c r="I8" s="2" t="s">
        <v>66</v>
      </c>
      <c r="J8" s="5">
        <v>2.5</v>
      </c>
      <c r="K8" s="5"/>
    </row>
    <row r="9" spans="1:13" ht="14.4" x14ac:dyDescent="0.3">
      <c r="A9" s="2">
        <v>8</v>
      </c>
      <c r="B9" s="4">
        <v>46308</v>
      </c>
      <c r="C9" s="2" t="s">
        <v>27</v>
      </c>
      <c r="D9" s="2" t="s">
        <v>5</v>
      </c>
      <c r="E9" s="2" t="s">
        <v>81</v>
      </c>
      <c r="F9" s="2" t="s">
        <v>82</v>
      </c>
      <c r="G9" s="2" t="s">
        <v>6</v>
      </c>
      <c r="H9" s="2" t="s">
        <v>65</v>
      </c>
      <c r="I9" s="2" t="s">
        <v>66</v>
      </c>
      <c r="J9" s="5">
        <v>2.5</v>
      </c>
      <c r="K9" s="5"/>
    </row>
    <row r="10" spans="1:13" ht="14.4" x14ac:dyDescent="0.3">
      <c r="A10" s="2">
        <v>9</v>
      </c>
      <c r="B10" s="4">
        <v>46309</v>
      </c>
      <c r="C10" s="2" t="s">
        <v>27</v>
      </c>
      <c r="D10" s="2" t="s">
        <v>5</v>
      </c>
      <c r="E10" s="2" t="s">
        <v>83</v>
      </c>
      <c r="F10" s="2" t="s">
        <v>84</v>
      </c>
      <c r="G10" s="2" t="s">
        <v>6</v>
      </c>
      <c r="H10" s="2" t="s">
        <v>65</v>
      </c>
      <c r="I10" s="2" t="s">
        <v>66</v>
      </c>
      <c r="J10" s="5">
        <v>2.5</v>
      </c>
      <c r="K10" s="5"/>
    </row>
    <row r="11" spans="1:13" ht="14.4" x14ac:dyDescent="0.3">
      <c r="A11" s="2">
        <v>10</v>
      </c>
      <c r="B11" s="4">
        <v>46310</v>
      </c>
      <c r="C11" s="2" t="s">
        <v>27</v>
      </c>
      <c r="D11" s="2" t="s">
        <v>5</v>
      </c>
      <c r="E11" s="2" t="s">
        <v>86</v>
      </c>
      <c r="F11" s="2" t="s">
        <v>87</v>
      </c>
      <c r="G11" s="2" t="s">
        <v>6</v>
      </c>
      <c r="H11" s="2" t="s">
        <v>65</v>
      </c>
      <c r="I11" s="2" t="s">
        <v>66</v>
      </c>
      <c r="J11" s="5">
        <v>2.5</v>
      </c>
      <c r="K11" s="5"/>
    </row>
    <row r="12" spans="1:13" ht="14.4" x14ac:dyDescent="0.3">
      <c r="A12" s="2">
        <v>11</v>
      </c>
      <c r="B12" s="4">
        <v>46311</v>
      </c>
      <c r="C12" s="2" t="s">
        <v>27</v>
      </c>
      <c r="D12" s="2" t="s">
        <v>5</v>
      </c>
      <c r="E12" s="2" t="s">
        <v>88</v>
      </c>
      <c r="F12" s="2" t="s">
        <v>89</v>
      </c>
      <c r="G12" s="2" t="s">
        <v>6</v>
      </c>
      <c r="H12" s="2" t="s">
        <v>65</v>
      </c>
      <c r="I12" s="2" t="s">
        <v>66</v>
      </c>
      <c r="J12" s="5">
        <v>2.5</v>
      </c>
      <c r="K12" s="5"/>
    </row>
    <row r="13" spans="1:13" ht="14.4" x14ac:dyDescent="0.3">
      <c r="A13" s="2">
        <v>12</v>
      </c>
      <c r="B13" s="4">
        <v>46312</v>
      </c>
      <c r="C13" s="2" t="s">
        <v>27</v>
      </c>
      <c r="D13" s="2" t="s">
        <v>5</v>
      </c>
      <c r="E13" s="2" t="s">
        <v>92</v>
      </c>
      <c r="F13" s="2" t="s">
        <v>93</v>
      </c>
      <c r="G13" s="2" t="s">
        <v>6</v>
      </c>
      <c r="H13" s="2" t="s">
        <v>65</v>
      </c>
      <c r="I13" s="2" t="s">
        <v>66</v>
      </c>
      <c r="J13" s="5">
        <v>2.5</v>
      </c>
      <c r="K13" s="5"/>
    </row>
    <row r="14" spans="1:13" ht="14.4" x14ac:dyDescent="0.3">
      <c r="A14" s="2">
        <v>13</v>
      </c>
      <c r="B14" s="4">
        <v>46313</v>
      </c>
      <c r="C14" s="2" t="s">
        <v>27</v>
      </c>
      <c r="D14" s="2" t="s">
        <v>5</v>
      </c>
      <c r="E14" s="2" t="s">
        <v>95</v>
      </c>
      <c r="F14" s="2" t="s">
        <v>96</v>
      </c>
      <c r="G14" s="2" t="s">
        <v>6</v>
      </c>
      <c r="H14" s="2" t="s">
        <v>65</v>
      </c>
      <c r="I14" s="2" t="s">
        <v>66</v>
      </c>
      <c r="J14" s="5">
        <v>2.5</v>
      </c>
      <c r="K14" s="5"/>
    </row>
    <row r="15" spans="1:13" ht="14.4" x14ac:dyDescent="0.3">
      <c r="A15" s="2">
        <v>14</v>
      </c>
      <c r="B15" s="4">
        <v>46314</v>
      </c>
      <c r="C15" s="2" t="s">
        <v>27</v>
      </c>
      <c r="D15" s="2" t="s">
        <v>5</v>
      </c>
      <c r="E15" s="2" t="s">
        <v>97</v>
      </c>
      <c r="F15" s="2" t="s">
        <v>98</v>
      </c>
      <c r="G15" s="2" t="s">
        <v>6</v>
      </c>
      <c r="H15" s="2" t="s">
        <v>65</v>
      </c>
      <c r="I15" s="2" t="s">
        <v>66</v>
      </c>
      <c r="J15" s="5">
        <v>2.5</v>
      </c>
      <c r="K15" s="5"/>
    </row>
    <row r="16" spans="1:13" ht="14.4" x14ac:dyDescent="0.3">
      <c r="A16" s="2">
        <v>15</v>
      </c>
      <c r="B16" s="4">
        <v>46315</v>
      </c>
      <c r="C16" s="2" t="s">
        <v>27</v>
      </c>
      <c r="D16" s="2" t="s">
        <v>5</v>
      </c>
      <c r="E16" s="2" t="s">
        <v>99</v>
      </c>
      <c r="F16" s="2" t="s">
        <v>100</v>
      </c>
      <c r="G16" s="2" t="s">
        <v>6</v>
      </c>
      <c r="H16" s="2" t="s">
        <v>65</v>
      </c>
      <c r="I16" s="2" t="s">
        <v>66</v>
      </c>
      <c r="J16" s="5">
        <v>2.5</v>
      </c>
      <c r="K16" s="5"/>
    </row>
    <row r="17" spans="1:11" ht="14.4" x14ac:dyDescent="0.3">
      <c r="A17" s="2">
        <v>16</v>
      </c>
      <c r="B17" s="4">
        <v>46316</v>
      </c>
      <c r="C17" s="2" t="s">
        <v>27</v>
      </c>
      <c r="D17" s="2" t="s">
        <v>5</v>
      </c>
      <c r="E17" s="2" t="s">
        <v>101</v>
      </c>
      <c r="F17" s="2" t="s">
        <v>102</v>
      </c>
      <c r="G17" s="2" t="s">
        <v>6</v>
      </c>
      <c r="H17" s="2" t="s">
        <v>65</v>
      </c>
      <c r="I17" s="2" t="s">
        <v>66</v>
      </c>
      <c r="J17" s="5">
        <v>2.5</v>
      </c>
      <c r="K17" s="5"/>
    </row>
    <row r="18" spans="1:11" ht="14.4" x14ac:dyDescent="0.3">
      <c r="A18" s="2">
        <v>17</v>
      </c>
      <c r="B18" s="4">
        <v>46317</v>
      </c>
      <c r="C18" s="2" t="s">
        <v>27</v>
      </c>
      <c r="D18" s="2" t="s">
        <v>5</v>
      </c>
      <c r="E18" s="2" t="s">
        <v>103</v>
      </c>
      <c r="F18" s="2" t="s">
        <v>104</v>
      </c>
      <c r="G18" s="2" t="s">
        <v>6</v>
      </c>
      <c r="H18" s="2" t="s">
        <v>65</v>
      </c>
      <c r="I18" s="2" t="s">
        <v>66</v>
      </c>
      <c r="J18" s="5">
        <v>2.5</v>
      </c>
      <c r="K18" s="5"/>
    </row>
    <row r="19" spans="1:11" ht="14.4" x14ac:dyDescent="0.3">
      <c r="A19" s="2">
        <v>18</v>
      </c>
      <c r="B19" s="4">
        <v>46318</v>
      </c>
      <c r="C19" s="2" t="s">
        <v>27</v>
      </c>
      <c r="D19" s="2" t="s">
        <v>5</v>
      </c>
      <c r="E19" s="2" t="s">
        <v>105</v>
      </c>
      <c r="F19" s="2" t="s">
        <v>106</v>
      </c>
      <c r="G19" s="2" t="s">
        <v>6</v>
      </c>
      <c r="H19" s="2" t="s">
        <v>65</v>
      </c>
      <c r="I19" s="2" t="s">
        <v>66</v>
      </c>
      <c r="J19" s="5">
        <v>2.5</v>
      </c>
      <c r="K19" s="5"/>
    </row>
    <row r="20" spans="1:11" ht="14.4" x14ac:dyDescent="0.3">
      <c r="A20" s="2">
        <v>19</v>
      </c>
      <c r="B20" s="4">
        <v>46319</v>
      </c>
      <c r="C20" s="2" t="s">
        <v>27</v>
      </c>
      <c r="D20" s="2" t="s">
        <v>5</v>
      </c>
      <c r="E20" s="2" t="s">
        <v>107</v>
      </c>
      <c r="F20" s="2" t="s">
        <v>108</v>
      </c>
      <c r="G20" s="2" t="s">
        <v>6</v>
      </c>
      <c r="H20" s="2" t="s">
        <v>65</v>
      </c>
      <c r="I20" s="2" t="s">
        <v>66</v>
      </c>
      <c r="J20" s="5">
        <v>2.5</v>
      </c>
      <c r="K20" s="5"/>
    </row>
    <row r="21" spans="1:11" ht="15.75" customHeight="1" x14ac:dyDescent="0.3">
      <c r="A21" s="2">
        <v>20</v>
      </c>
      <c r="B21" s="4">
        <v>46320</v>
      </c>
      <c r="C21" s="2" t="s">
        <v>27</v>
      </c>
      <c r="D21" s="2" t="s">
        <v>5</v>
      </c>
      <c r="E21" s="2" t="s">
        <v>109</v>
      </c>
      <c r="F21" s="2" t="s">
        <v>110</v>
      </c>
      <c r="G21" s="2" t="s">
        <v>6</v>
      </c>
      <c r="H21" s="2" t="s">
        <v>65</v>
      </c>
      <c r="I21" s="2" t="s">
        <v>66</v>
      </c>
      <c r="J21" s="5">
        <v>2.5</v>
      </c>
      <c r="K21" s="5"/>
    </row>
    <row r="22" spans="1:11" ht="15.75" customHeight="1" x14ac:dyDescent="0.3">
      <c r="A22" s="2">
        <v>21</v>
      </c>
      <c r="B22" s="4">
        <v>46321</v>
      </c>
      <c r="C22" s="2" t="s">
        <v>27</v>
      </c>
      <c r="D22" s="2" t="s">
        <v>5</v>
      </c>
      <c r="E22" s="2" t="s">
        <v>111</v>
      </c>
      <c r="F22" s="2" t="s">
        <v>112</v>
      </c>
      <c r="G22" s="2" t="s">
        <v>6</v>
      </c>
      <c r="H22" s="2" t="s">
        <v>65</v>
      </c>
      <c r="I22" s="2" t="s">
        <v>66</v>
      </c>
      <c r="J22" s="5">
        <v>2.5</v>
      </c>
      <c r="K22" s="5"/>
    </row>
    <row r="23" spans="1:11" ht="15.75" customHeight="1" x14ac:dyDescent="0.3">
      <c r="A23" s="2">
        <v>22</v>
      </c>
      <c r="B23" s="4">
        <v>46322</v>
      </c>
      <c r="C23" s="2" t="s">
        <v>27</v>
      </c>
      <c r="D23" s="2" t="s">
        <v>5</v>
      </c>
      <c r="E23" s="2" t="s">
        <v>111</v>
      </c>
      <c r="F23" s="2" t="s">
        <v>113</v>
      </c>
      <c r="G23" s="2" t="s">
        <v>6</v>
      </c>
      <c r="H23" s="2" t="s">
        <v>65</v>
      </c>
      <c r="I23" s="2" t="s">
        <v>66</v>
      </c>
      <c r="J23" s="5">
        <v>2.5</v>
      </c>
      <c r="K23" s="5"/>
    </row>
    <row r="24" spans="1:11" ht="15.75" customHeight="1" x14ac:dyDescent="0.3">
      <c r="A24" s="2">
        <v>23</v>
      </c>
      <c r="B24" s="4">
        <v>46323</v>
      </c>
      <c r="C24" s="2" t="s">
        <v>27</v>
      </c>
      <c r="D24" s="2" t="s">
        <v>5</v>
      </c>
      <c r="E24" s="2" t="s">
        <v>114</v>
      </c>
      <c r="F24" s="2" t="s">
        <v>115</v>
      </c>
      <c r="G24" s="2" t="s">
        <v>6</v>
      </c>
      <c r="H24" s="2" t="s">
        <v>65</v>
      </c>
      <c r="I24" s="2" t="s">
        <v>66</v>
      </c>
      <c r="J24" s="5">
        <v>2.5</v>
      </c>
      <c r="K24" s="5"/>
    </row>
    <row r="25" spans="1:11" ht="15.75" customHeight="1" x14ac:dyDescent="0.3">
      <c r="A25" s="2">
        <v>24</v>
      </c>
      <c r="B25" s="4">
        <v>46324</v>
      </c>
      <c r="C25" s="2" t="s">
        <v>27</v>
      </c>
      <c r="D25" s="2" t="s">
        <v>5</v>
      </c>
      <c r="E25" s="2" t="s">
        <v>116</v>
      </c>
      <c r="F25" s="2" t="s">
        <v>117</v>
      </c>
      <c r="G25" s="2" t="s">
        <v>6</v>
      </c>
      <c r="H25" s="2" t="s">
        <v>65</v>
      </c>
      <c r="I25" s="2" t="s">
        <v>66</v>
      </c>
      <c r="J25" s="5">
        <v>2.5</v>
      </c>
      <c r="K25" s="5"/>
    </row>
    <row r="26" spans="1:11" ht="15.75" customHeight="1" x14ac:dyDescent="0.3">
      <c r="A26" s="2">
        <v>25</v>
      </c>
      <c r="B26" s="4">
        <v>46325</v>
      </c>
      <c r="C26" s="2" t="s">
        <v>27</v>
      </c>
      <c r="D26" s="2" t="s">
        <v>7</v>
      </c>
      <c r="E26" s="2" t="s">
        <v>118</v>
      </c>
      <c r="F26" s="2" t="s">
        <v>119</v>
      </c>
      <c r="G26" s="2" t="s">
        <v>8</v>
      </c>
      <c r="H26" s="2" t="s">
        <v>120</v>
      </c>
      <c r="I26" s="2" t="s">
        <v>66</v>
      </c>
      <c r="J26" s="5">
        <v>2.5</v>
      </c>
      <c r="K26" s="5"/>
    </row>
    <row r="27" spans="1:11" ht="15.75" customHeight="1" x14ac:dyDescent="0.3">
      <c r="A27" s="2">
        <v>26</v>
      </c>
      <c r="B27" s="4">
        <v>46326</v>
      </c>
      <c r="C27" s="2" t="s">
        <v>27</v>
      </c>
      <c r="D27" s="2" t="s">
        <v>7</v>
      </c>
      <c r="E27" s="2" t="s">
        <v>121</v>
      </c>
      <c r="F27" s="2" t="s">
        <v>122</v>
      </c>
      <c r="G27" s="2" t="s">
        <v>8</v>
      </c>
      <c r="H27" s="2" t="s">
        <v>120</v>
      </c>
      <c r="I27" s="2" t="s">
        <v>66</v>
      </c>
      <c r="J27" s="5">
        <v>2.5</v>
      </c>
      <c r="K27" s="5"/>
    </row>
    <row r="28" spans="1:11" ht="15.75" customHeight="1" x14ac:dyDescent="0.3">
      <c r="A28" s="2">
        <v>27</v>
      </c>
      <c r="B28" s="4">
        <v>46327</v>
      </c>
      <c r="C28" s="2" t="s">
        <v>27</v>
      </c>
      <c r="D28" s="2" t="s">
        <v>7</v>
      </c>
      <c r="E28" s="2" t="s">
        <v>123</v>
      </c>
      <c r="F28" s="2" t="s">
        <v>124</v>
      </c>
      <c r="G28" s="2" t="s">
        <v>8</v>
      </c>
      <c r="H28" s="2" t="s">
        <v>120</v>
      </c>
      <c r="I28" s="2" t="s">
        <v>66</v>
      </c>
      <c r="J28" s="5">
        <v>2.5</v>
      </c>
      <c r="K28" s="5"/>
    </row>
    <row r="29" spans="1:11" ht="15.75" customHeight="1" x14ac:dyDescent="0.3">
      <c r="A29" s="2">
        <v>28</v>
      </c>
      <c r="B29" s="4">
        <v>46328</v>
      </c>
      <c r="C29" s="2" t="s">
        <v>27</v>
      </c>
      <c r="D29" s="2" t="s">
        <v>7</v>
      </c>
      <c r="E29" s="2" t="s">
        <v>125</v>
      </c>
      <c r="F29" s="2" t="s">
        <v>126</v>
      </c>
      <c r="G29" s="2" t="s">
        <v>8</v>
      </c>
      <c r="H29" s="2" t="s">
        <v>120</v>
      </c>
      <c r="I29" s="2" t="s">
        <v>66</v>
      </c>
      <c r="J29" s="5">
        <v>2.5</v>
      </c>
      <c r="K29" s="5"/>
    </row>
    <row r="30" spans="1:11" ht="15.75" customHeight="1" x14ac:dyDescent="0.3">
      <c r="A30" s="2">
        <v>29</v>
      </c>
      <c r="B30" s="4">
        <v>46329</v>
      </c>
      <c r="C30" s="2" t="s">
        <v>27</v>
      </c>
      <c r="D30" s="2" t="s">
        <v>5</v>
      </c>
      <c r="E30" s="2" t="s">
        <v>127</v>
      </c>
      <c r="F30" s="2" t="s">
        <v>128</v>
      </c>
      <c r="G30" s="2" t="s">
        <v>6</v>
      </c>
      <c r="H30" s="2" t="s">
        <v>65</v>
      </c>
      <c r="I30" s="2" t="s">
        <v>66</v>
      </c>
      <c r="J30" s="5">
        <v>2.5</v>
      </c>
      <c r="K30" s="5"/>
    </row>
    <row r="31" spans="1:11" ht="15.75" customHeight="1" x14ac:dyDescent="0.3">
      <c r="A31" s="2">
        <v>30</v>
      </c>
      <c r="B31" s="4">
        <v>46330</v>
      </c>
      <c r="C31" s="2" t="s">
        <v>27</v>
      </c>
      <c r="D31" s="2" t="s">
        <v>5</v>
      </c>
      <c r="E31" s="2" t="s">
        <v>129</v>
      </c>
      <c r="F31" s="2" t="s">
        <v>130</v>
      </c>
      <c r="G31" s="2" t="s">
        <v>6</v>
      </c>
      <c r="H31" s="2" t="s">
        <v>65</v>
      </c>
      <c r="I31" s="2" t="s">
        <v>66</v>
      </c>
      <c r="J31" s="5">
        <v>2.5</v>
      </c>
      <c r="K31" s="5"/>
    </row>
    <row r="32" spans="1:11" ht="15.75" customHeight="1" x14ac:dyDescent="0.3">
      <c r="A32" s="2">
        <v>31</v>
      </c>
      <c r="B32" s="4">
        <v>46331</v>
      </c>
      <c r="C32" s="2" t="s">
        <v>36</v>
      </c>
      <c r="D32" s="2" t="s">
        <v>131</v>
      </c>
      <c r="E32" s="2" t="s">
        <v>132</v>
      </c>
      <c r="F32" s="2" t="s">
        <v>133</v>
      </c>
      <c r="G32" s="2" t="s">
        <v>134</v>
      </c>
      <c r="H32" s="2"/>
      <c r="I32" s="2" t="s">
        <v>66</v>
      </c>
      <c r="J32" s="5">
        <v>2.5</v>
      </c>
      <c r="K32" s="5"/>
    </row>
    <row r="33" spans="1:11" ht="15.75" customHeight="1" x14ac:dyDescent="0.3">
      <c r="A33" s="2">
        <v>32</v>
      </c>
      <c r="B33" s="4">
        <v>46332</v>
      </c>
      <c r="C33" s="2" t="s">
        <v>36</v>
      </c>
      <c r="D33" s="2" t="s">
        <v>135</v>
      </c>
      <c r="E33" s="2" t="s">
        <v>136</v>
      </c>
      <c r="F33" s="2" t="s">
        <v>137</v>
      </c>
      <c r="G33" s="2" t="s">
        <v>6</v>
      </c>
      <c r="H33" s="2" t="s">
        <v>138</v>
      </c>
      <c r="I33" s="2" t="s">
        <v>66</v>
      </c>
      <c r="J33" s="5">
        <v>2.5</v>
      </c>
      <c r="K33" s="5"/>
    </row>
    <row r="34" spans="1:11" ht="15.75" customHeight="1" x14ac:dyDescent="0.3">
      <c r="A34" s="2">
        <v>33</v>
      </c>
      <c r="B34" s="4">
        <v>46333</v>
      </c>
      <c r="C34" s="2" t="s">
        <v>36</v>
      </c>
      <c r="D34" s="2" t="s">
        <v>135</v>
      </c>
      <c r="E34" s="2" t="s">
        <v>139</v>
      </c>
      <c r="F34" s="2" t="s">
        <v>140</v>
      </c>
      <c r="G34" s="2" t="s">
        <v>6</v>
      </c>
      <c r="H34" s="2" t="s">
        <v>138</v>
      </c>
      <c r="I34" s="2" t="s">
        <v>66</v>
      </c>
      <c r="J34" s="5">
        <v>2.5</v>
      </c>
      <c r="K34" s="5"/>
    </row>
    <row r="35" spans="1:11" ht="15.75" customHeight="1" x14ac:dyDescent="0.3">
      <c r="A35" s="2">
        <v>34</v>
      </c>
      <c r="B35" s="4">
        <v>46334</v>
      </c>
      <c r="C35" s="2" t="s">
        <v>36</v>
      </c>
      <c r="D35" s="2" t="s">
        <v>135</v>
      </c>
      <c r="E35" s="2" t="s">
        <v>141</v>
      </c>
      <c r="F35" s="2" t="s">
        <v>142</v>
      </c>
      <c r="G35" s="2" t="s">
        <v>6</v>
      </c>
      <c r="H35" s="2" t="s">
        <v>138</v>
      </c>
      <c r="I35" s="2" t="s">
        <v>66</v>
      </c>
      <c r="J35" s="5">
        <v>2.5</v>
      </c>
      <c r="K35" s="5"/>
    </row>
    <row r="36" spans="1:11" ht="15.75" customHeight="1" x14ac:dyDescent="0.3">
      <c r="A36" s="2">
        <v>35</v>
      </c>
      <c r="B36" s="4">
        <v>46335</v>
      </c>
      <c r="C36" s="2" t="s">
        <v>36</v>
      </c>
      <c r="D36" s="2" t="s">
        <v>135</v>
      </c>
      <c r="E36" s="2" t="s">
        <v>143</v>
      </c>
      <c r="F36" s="2" t="s">
        <v>142</v>
      </c>
      <c r="G36" s="2" t="s">
        <v>6</v>
      </c>
      <c r="H36" s="2" t="s">
        <v>138</v>
      </c>
      <c r="I36" s="2" t="s">
        <v>66</v>
      </c>
      <c r="J36" s="5">
        <v>2.5</v>
      </c>
      <c r="K36" s="5"/>
    </row>
    <row r="37" spans="1:11" ht="15.75" customHeight="1" x14ac:dyDescent="0.3">
      <c r="A37" s="2">
        <v>36</v>
      </c>
      <c r="B37" s="4">
        <v>46336</v>
      </c>
      <c r="C37" s="2" t="s">
        <v>36</v>
      </c>
      <c r="D37" s="2" t="s">
        <v>135</v>
      </c>
      <c r="E37" s="2" t="s">
        <v>144</v>
      </c>
      <c r="F37" s="2" t="s">
        <v>142</v>
      </c>
      <c r="G37" s="2" t="s">
        <v>6</v>
      </c>
      <c r="H37" s="2" t="s">
        <v>138</v>
      </c>
      <c r="I37" s="2" t="s">
        <v>66</v>
      </c>
      <c r="J37" s="5">
        <v>2.5</v>
      </c>
      <c r="K37" s="5"/>
    </row>
    <row r="38" spans="1:11" ht="15.75" customHeight="1" x14ac:dyDescent="0.3">
      <c r="A38" s="2">
        <v>37</v>
      </c>
      <c r="B38" s="4">
        <v>46337</v>
      </c>
      <c r="C38" s="2" t="s">
        <v>36</v>
      </c>
      <c r="D38" s="2" t="s">
        <v>135</v>
      </c>
      <c r="E38" s="2" t="s">
        <v>145</v>
      </c>
      <c r="F38" s="2" t="s">
        <v>146</v>
      </c>
      <c r="G38" s="2" t="s">
        <v>6</v>
      </c>
      <c r="H38" s="2" t="s">
        <v>138</v>
      </c>
      <c r="I38" s="2" t="s">
        <v>66</v>
      </c>
      <c r="J38" s="5">
        <v>2.5</v>
      </c>
      <c r="K38" s="5"/>
    </row>
    <row r="39" spans="1:11" ht="15.75" customHeight="1" x14ac:dyDescent="0.3">
      <c r="A39" s="2">
        <v>38</v>
      </c>
      <c r="B39" s="4">
        <v>46338</v>
      </c>
      <c r="C39" s="2" t="s">
        <v>36</v>
      </c>
      <c r="D39" s="2" t="s">
        <v>135</v>
      </c>
      <c r="E39" s="2" t="s">
        <v>147</v>
      </c>
      <c r="F39" s="2" t="s">
        <v>148</v>
      </c>
      <c r="G39" s="2" t="s">
        <v>6</v>
      </c>
      <c r="H39" s="2" t="s">
        <v>138</v>
      </c>
      <c r="I39" s="2" t="s">
        <v>66</v>
      </c>
      <c r="J39" s="5">
        <v>2.5</v>
      </c>
      <c r="K39" s="5"/>
    </row>
    <row r="40" spans="1:11" ht="15.75" customHeight="1" x14ac:dyDescent="0.3">
      <c r="A40" s="2">
        <v>39</v>
      </c>
      <c r="B40" s="4">
        <v>46339</v>
      </c>
      <c r="C40" s="2" t="s">
        <v>36</v>
      </c>
      <c r="D40" s="2" t="s">
        <v>135</v>
      </c>
      <c r="E40" s="2" t="s">
        <v>149</v>
      </c>
      <c r="F40" s="2" t="s">
        <v>150</v>
      </c>
      <c r="G40" s="2" t="s">
        <v>6</v>
      </c>
      <c r="H40" s="2" t="s">
        <v>138</v>
      </c>
      <c r="I40" s="2" t="s">
        <v>66</v>
      </c>
      <c r="J40" s="5">
        <v>2.5</v>
      </c>
      <c r="K40" s="5"/>
    </row>
    <row r="41" spans="1:11" ht="15.75" customHeight="1" x14ac:dyDescent="0.3">
      <c r="A41" s="2">
        <v>40</v>
      </c>
      <c r="B41" s="4">
        <v>46340</v>
      </c>
      <c r="C41" s="2" t="s">
        <v>36</v>
      </c>
      <c r="D41" s="2" t="s">
        <v>135</v>
      </c>
      <c r="E41" s="2" t="s">
        <v>154</v>
      </c>
      <c r="F41" s="2" t="s">
        <v>156</v>
      </c>
      <c r="G41" s="2" t="s">
        <v>6</v>
      </c>
      <c r="H41" s="2" t="s">
        <v>138</v>
      </c>
      <c r="I41" s="2" t="s">
        <v>66</v>
      </c>
      <c r="J41" s="5">
        <v>2.5</v>
      </c>
      <c r="K41" s="5"/>
    </row>
    <row r="42" spans="1:11" ht="15.75" customHeight="1" x14ac:dyDescent="0.3">
      <c r="A42" s="2">
        <v>41</v>
      </c>
      <c r="B42" s="4">
        <v>46341</v>
      </c>
      <c r="C42" s="2" t="s">
        <v>36</v>
      </c>
      <c r="D42" s="2" t="s">
        <v>135</v>
      </c>
      <c r="E42" s="2" t="s">
        <v>162</v>
      </c>
      <c r="F42" s="2" t="s">
        <v>163</v>
      </c>
      <c r="G42" s="2" t="s">
        <v>6</v>
      </c>
      <c r="H42" s="2" t="s">
        <v>138</v>
      </c>
      <c r="I42" s="2" t="s">
        <v>66</v>
      </c>
      <c r="J42" s="5">
        <v>2.5</v>
      </c>
      <c r="K42" s="5"/>
    </row>
    <row r="43" spans="1:11" ht="15.75" customHeight="1" x14ac:dyDescent="0.3">
      <c r="A43" s="2">
        <v>42</v>
      </c>
      <c r="B43" s="4">
        <v>46342</v>
      </c>
      <c r="C43" s="2" t="s">
        <v>36</v>
      </c>
      <c r="D43" s="2" t="s">
        <v>135</v>
      </c>
      <c r="E43" s="2" t="s">
        <v>170</v>
      </c>
      <c r="F43" s="2" t="s">
        <v>171</v>
      </c>
      <c r="G43" s="2" t="s">
        <v>6</v>
      </c>
      <c r="H43" s="2" t="s">
        <v>138</v>
      </c>
      <c r="I43" s="2" t="s">
        <v>66</v>
      </c>
      <c r="J43" s="5">
        <v>2.5</v>
      </c>
      <c r="K43" s="5"/>
    </row>
    <row r="44" spans="1:11" ht="15.75" customHeight="1" x14ac:dyDescent="0.3">
      <c r="A44" s="2">
        <v>43</v>
      </c>
      <c r="B44" s="4">
        <v>46343</v>
      </c>
      <c r="C44" s="2" t="s">
        <v>36</v>
      </c>
      <c r="D44" s="2" t="s">
        <v>135</v>
      </c>
      <c r="E44" s="2" t="s">
        <v>179</v>
      </c>
      <c r="F44" s="2" t="s">
        <v>163</v>
      </c>
      <c r="G44" s="2" t="s">
        <v>6</v>
      </c>
      <c r="H44" s="2" t="s">
        <v>138</v>
      </c>
      <c r="I44" s="2" t="s">
        <v>66</v>
      </c>
      <c r="J44" s="5">
        <v>2.5</v>
      </c>
      <c r="K44" s="5"/>
    </row>
    <row r="45" spans="1:11" ht="15.75" customHeight="1" x14ac:dyDescent="0.3">
      <c r="A45" s="2">
        <v>44</v>
      </c>
      <c r="B45" s="4">
        <v>46344</v>
      </c>
      <c r="C45" s="2" t="s">
        <v>36</v>
      </c>
      <c r="D45" s="2" t="s">
        <v>135</v>
      </c>
      <c r="E45" s="2" t="s">
        <v>191</v>
      </c>
      <c r="F45" s="2" t="s">
        <v>193</v>
      </c>
      <c r="G45" s="2" t="s">
        <v>6</v>
      </c>
      <c r="H45" s="2" t="s">
        <v>138</v>
      </c>
      <c r="I45" s="2" t="s">
        <v>66</v>
      </c>
      <c r="J45" s="5">
        <v>2.5</v>
      </c>
      <c r="K45" s="5"/>
    </row>
    <row r="46" spans="1:11" ht="15.75" customHeight="1" x14ac:dyDescent="0.3">
      <c r="A46" s="2">
        <v>45</v>
      </c>
      <c r="B46" s="4">
        <v>46345</v>
      </c>
      <c r="C46" s="2" t="s">
        <v>36</v>
      </c>
      <c r="D46" s="2" t="s">
        <v>9</v>
      </c>
      <c r="E46" s="2" t="s">
        <v>199</v>
      </c>
      <c r="F46" s="2" t="s">
        <v>200</v>
      </c>
      <c r="G46" s="2" t="s">
        <v>10</v>
      </c>
      <c r="H46" s="2" t="s">
        <v>166</v>
      </c>
      <c r="I46" s="2" t="s">
        <v>66</v>
      </c>
      <c r="J46" s="5">
        <v>2.5</v>
      </c>
      <c r="K46" s="5"/>
    </row>
    <row r="47" spans="1:11" ht="15.75" customHeight="1" x14ac:dyDescent="0.3">
      <c r="A47" s="2">
        <v>46</v>
      </c>
      <c r="B47" s="4">
        <v>46346</v>
      </c>
      <c r="C47" s="2" t="s">
        <v>36</v>
      </c>
      <c r="D47" s="2" t="s">
        <v>9</v>
      </c>
      <c r="E47" s="2" t="s">
        <v>210</v>
      </c>
      <c r="F47" s="2" t="s">
        <v>212</v>
      </c>
      <c r="G47" s="2" t="s">
        <v>10</v>
      </c>
      <c r="H47" s="2" t="s">
        <v>166</v>
      </c>
      <c r="I47" s="2" t="s">
        <v>66</v>
      </c>
      <c r="J47" s="5">
        <v>2.5</v>
      </c>
      <c r="K47" s="5"/>
    </row>
    <row r="48" spans="1:11" ht="15.75" customHeight="1" x14ac:dyDescent="0.3">
      <c r="A48" s="2">
        <v>47</v>
      </c>
      <c r="B48" s="4">
        <v>46347</v>
      </c>
      <c r="C48" s="2" t="s">
        <v>36</v>
      </c>
      <c r="D48" s="2" t="s">
        <v>9</v>
      </c>
      <c r="E48" s="2" t="s">
        <v>220</v>
      </c>
      <c r="F48" s="2" t="s">
        <v>221</v>
      </c>
      <c r="G48" s="2" t="s">
        <v>10</v>
      </c>
      <c r="H48" s="2" t="s">
        <v>166</v>
      </c>
      <c r="I48" s="2" t="s">
        <v>66</v>
      </c>
      <c r="J48" s="5">
        <v>2.5</v>
      </c>
      <c r="K48" s="5"/>
    </row>
    <row r="49" spans="1:11" ht="15.75" customHeight="1" x14ac:dyDescent="0.3">
      <c r="A49" s="2">
        <v>48</v>
      </c>
      <c r="B49" s="4">
        <v>46348</v>
      </c>
      <c r="C49" s="2" t="s">
        <v>36</v>
      </c>
      <c r="D49" s="2" t="s">
        <v>9</v>
      </c>
      <c r="E49" s="2" t="s">
        <v>231</v>
      </c>
      <c r="F49" s="2" t="s">
        <v>233</v>
      </c>
      <c r="G49" s="2" t="s">
        <v>10</v>
      </c>
      <c r="H49" s="2" t="s">
        <v>166</v>
      </c>
      <c r="I49" s="2" t="s">
        <v>66</v>
      </c>
      <c r="J49" s="5">
        <v>2.5</v>
      </c>
      <c r="K49" s="5"/>
    </row>
    <row r="50" spans="1:11" ht="15.75" customHeight="1" x14ac:dyDescent="0.3">
      <c r="A50" s="2">
        <v>49</v>
      </c>
      <c r="B50" s="4">
        <v>46349</v>
      </c>
      <c r="C50" s="2" t="s">
        <v>36</v>
      </c>
      <c r="D50" s="2" t="s">
        <v>9</v>
      </c>
      <c r="E50" s="2" t="s">
        <v>241</v>
      </c>
      <c r="F50" s="2" t="s">
        <v>242</v>
      </c>
      <c r="G50" s="2" t="s">
        <v>10</v>
      </c>
      <c r="H50" s="2" t="s">
        <v>166</v>
      </c>
      <c r="I50" s="2" t="s">
        <v>66</v>
      </c>
      <c r="J50" s="5">
        <v>2.5</v>
      </c>
      <c r="K50" s="5"/>
    </row>
    <row r="51" spans="1:11" ht="15.75" customHeight="1" x14ac:dyDescent="0.3">
      <c r="A51" s="2">
        <v>50</v>
      </c>
      <c r="B51" s="4">
        <v>46350</v>
      </c>
      <c r="C51" s="2" t="s">
        <v>36</v>
      </c>
      <c r="D51" s="2" t="s">
        <v>9</v>
      </c>
      <c r="E51" s="2" t="s">
        <v>243</v>
      </c>
      <c r="F51" s="2" t="s">
        <v>244</v>
      </c>
      <c r="G51" s="2" t="s">
        <v>10</v>
      </c>
      <c r="H51" s="2" t="s">
        <v>166</v>
      </c>
      <c r="I51" s="2" t="s">
        <v>66</v>
      </c>
      <c r="J51" s="5">
        <v>2.5</v>
      </c>
      <c r="K51" s="5"/>
    </row>
    <row r="52" spans="1:11" ht="15.75" customHeight="1" x14ac:dyDescent="0.3">
      <c r="A52" s="2">
        <v>51</v>
      </c>
      <c r="B52" s="4">
        <v>46351</v>
      </c>
      <c r="C52" s="2" t="s">
        <v>36</v>
      </c>
      <c r="D52" s="2" t="s">
        <v>9</v>
      </c>
      <c r="E52" s="2" t="s">
        <v>245</v>
      </c>
      <c r="F52" s="2" t="s">
        <v>246</v>
      </c>
      <c r="G52" s="2" t="s">
        <v>10</v>
      </c>
      <c r="H52" s="2" t="s">
        <v>166</v>
      </c>
      <c r="I52" s="2" t="s">
        <v>66</v>
      </c>
      <c r="J52" s="5">
        <v>2.5</v>
      </c>
      <c r="K52" s="5"/>
    </row>
    <row r="53" spans="1:11" ht="15.75" customHeight="1" x14ac:dyDescent="0.3">
      <c r="A53" s="2">
        <v>52</v>
      </c>
      <c r="B53" s="4">
        <v>46352</v>
      </c>
      <c r="C53" s="2" t="s">
        <v>36</v>
      </c>
      <c r="D53" s="2" t="s">
        <v>247</v>
      </c>
      <c r="E53" s="2" t="s">
        <v>248</v>
      </c>
      <c r="F53" s="2" t="s">
        <v>249</v>
      </c>
      <c r="G53" s="2" t="s">
        <v>6</v>
      </c>
      <c r="H53" s="2" t="s">
        <v>250</v>
      </c>
      <c r="I53" s="2" t="s">
        <v>66</v>
      </c>
      <c r="J53" s="5">
        <v>2.5</v>
      </c>
      <c r="K53" s="5"/>
    </row>
    <row r="54" spans="1:11" ht="15.75" customHeight="1" x14ac:dyDescent="0.3">
      <c r="A54" s="2">
        <v>53</v>
      </c>
      <c r="B54" s="4">
        <v>46353</v>
      </c>
      <c r="C54" s="2" t="s">
        <v>36</v>
      </c>
      <c r="D54" s="2" t="s">
        <v>251</v>
      </c>
      <c r="E54" s="2" t="s">
        <v>252</v>
      </c>
      <c r="F54" s="2" t="s">
        <v>253</v>
      </c>
      <c r="G54" s="2" t="s">
        <v>6</v>
      </c>
      <c r="H54" s="2" t="s">
        <v>250</v>
      </c>
      <c r="I54" s="2" t="s">
        <v>66</v>
      </c>
      <c r="J54" s="5">
        <v>2.5</v>
      </c>
      <c r="K54" s="5"/>
    </row>
    <row r="55" spans="1:11" ht="15.75" customHeight="1" x14ac:dyDescent="0.3">
      <c r="A55" s="2">
        <v>54</v>
      </c>
      <c r="B55" s="4">
        <v>46354</v>
      </c>
      <c r="C55" s="2" t="s">
        <v>36</v>
      </c>
      <c r="D55" s="2" t="s">
        <v>254</v>
      </c>
      <c r="E55" s="2" t="s">
        <v>255</v>
      </c>
      <c r="F55" s="2" t="s">
        <v>256</v>
      </c>
      <c r="G55" s="2" t="s">
        <v>32</v>
      </c>
      <c r="H55" s="2" t="s">
        <v>234</v>
      </c>
      <c r="I55" s="2" t="s">
        <v>66</v>
      </c>
      <c r="J55" s="5">
        <v>2.5</v>
      </c>
      <c r="K55" s="5"/>
    </row>
    <row r="56" spans="1:11" ht="15.75" customHeight="1" x14ac:dyDescent="0.3">
      <c r="A56" s="2">
        <v>55</v>
      </c>
      <c r="B56" s="4">
        <v>46355</v>
      </c>
      <c r="C56" s="2" t="s">
        <v>36</v>
      </c>
      <c r="D56" s="2" t="s">
        <v>254</v>
      </c>
      <c r="E56" s="2" t="s">
        <v>257</v>
      </c>
      <c r="F56" s="2" t="s">
        <v>258</v>
      </c>
      <c r="G56" s="2" t="s">
        <v>32</v>
      </c>
      <c r="H56" s="2" t="s">
        <v>234</v>
      </c>
      <c r="I56" s="2" t="s">
        <v>66</v>
      </c>
      <c r="J56" s="5">
        <v>2.5</v>
      </c>
      <c r="K56" s="5"/>
    </row>
    <row r="57" spans="1:11" ht="15.75" customHeight="1" x14ac:dyDescent="0.3">
      <c r="A57" s="2">
        <v>56</v>
      </c>
      <c r="B57" s="4">
        <v>46356</v>
      </c>
      <c r="C57" s="2" t="s">
        <v>40</v>
      </c>
      <c r="D57" s="2" t="s">
        <v>254</v>
      </c>
      <c r="E57" s="2" t="s">
        <v>259</v>
      </c>
      <c r="F57" s="2" t="s">
        <v>260</v>
      </c>
      <c r="G57" s="2" t="s">
        <v>32</v>
      </c>
      <c r="H57" s="2" t="s">
        <v>234</v>
      </c>
      <c r="I57" s="2" t="s">
        <v>66</v>
      </c>
      <c r="J57" s="5">
        <v>2.5</v>
      </c>
      <c r="K57" s="5"/>
    </row>
    <row r="58" spans="1:11" ht="15.75" customHeight="1" x14ac:dyDescent="0.3">
      <c r="A58" s="2">
        <v>57</v>
      </c>
      <c r="B58" s="4">
        <v>46357</v>
      </c>
      <c r="C58" s="2" t="s">
        <v>40</v>
      </c>
      <c r="D58" s="2" t="s">
        <v>175</v>
      </c>
      <c r="E58" s="2" t="s">
        <v>261</v>
      </c>
      <c r="F58" s="2" t="s">
        <v>262</v>
      </c>
      <c r="G58" s="2" t="s">
        <v>37</v>
      </c>
      <c r="H58" s="2" t="s">
        <v>177</v>
      </c>
      <c r="I58" s="2" t="s">
        <v>66</v>
      </c>
      <c r="J58" s="5">
        <v>2.5</v>
      </c>
      <c r="K58" s="5"/>
    </row>
    <row r="59" spans="1:11" ht="15.75" customHeight="1" x14ac:dyDescent="0.3">
      <c r="A59" s="2">
        <v>58</v>
      </c>
      <c r="B59" s="4">
        <v>46358</v>
      </c>
      <c r="C59" s="2" t="s">
        <v>40</v>
      </c>
      <c r="D59" s="2" t="s">
        <v>175</v>
      </c>
      <c r="E59" s="2" t="s">
        <v>263</v>
      </c>
      <c r="F59" s="2" t="s">
        <v>264</v>
      </c>
      <c r="G59" s="2" t="s">
        <v>37</v>
      </c>
      <c r="H59" s="2" t="s">
        <v>177</v>
      </c>
      <c r="I59" s="2" t="s">
        <v>66</v>
      </c>
      <c r="J59" s="5">
        <v>2.5</v>
      </c>
      <c r="K59" s="5"/>
    </row>
    <row r="60" spans="1:11" ht="15.75" customHeight="1" x14ac:dyDescent="0.3">
      <c r="A60" s="2">
        <v>59</v>
      </c>
      <c r="B60" s="4">
        <v>46359</v>
      </c>
      <c r="C60" s="2" t="s">
        <v>40</v>
      </c>
      <c r="D60" s="2" t="s">
        <v>175</v>
      </c>
      <c r="E60" s="2" t="s">
        <v>265</v>
      </c>
      <c r="F60" s="2" t="s">
        <v>266</v>
      </c>
      <c r="G60" s="2" t="s">
        <v>37</v>
      </c>
      <c r="H60" s="2" t="s">
        <v>177</v>
      </c>
      <c r="I60" s="2" t="s">
        <v>66</v>
      </c>
      <c r="J60" s="5">
        <v>2.5</v>
      </c>
      <c r="K60" s="5"/>
    </row>
    <row r="61" spans="1:11" ht="15.75" customHeight="1" x14ac:dyDescent="0.3">
      <c r="A61" s="2">
        <v>60</v>
      </c>
      <c r="B61" s="4">
        <v>46360</v>
      </c>
      <c r="C61" s="2" t="s">
        <v>40</v>
      </c>
      <c r="D61" s="2" t="s">
        <v>175</v>
      </c>
      <c r="E61" s="2" t="s">
        <v>267</v>
      </c>
      <c r="F61" s="2" t="s">
        <v>268</v>
      </c>
      <c r="G61" s="2" t="s">
        <v>37</v>
      </c>
      <c r="H61" s="2" t="s">
        <v>177</v>
      </c>
      <c r="I61" s="2" t="s">
        <v>66</v>
      </c>
      <c r="J61" s="5">
        <v>2.5</v>
      </c>
      <c r="K61" s="5"/>
    </row>
    <row r="62" spans="1:11" ht="15.75" customHeight="1" x14ac:dyDescent="0.3">
      <c r="A62" s="2">
        <v>61</v>
      </c>
      <c r="B62" s="4">
        <v>46361</v>
      </c>
      <c r="C62" s="2" t="s">
        <v>40</v>
      </c>
      <c r="D62" s="2" t="s">
        <v>175</v>
      </c>
      <c r="E62" s="2" t="s">
        <v>269</v>
      </c>
      <c r="F62" s="2" t="s">
        <v>270</v>
      </c>
      <c r="G62" s="2" t="s">
        <v>37</v>
      </c>
      <c r="H62" s="2" t="s">
        <v>177</v>
      </c>
      <c r="I62" s="2" t="s">
        <v>66</v>
      </c>
      <c r="J62" s="5">
        <v>2.5</v>
      </c>
      <c r="K62" s="5"/>
    </row>
    <row r="63" spans="1:11" ht="15.75" customHeight="1" x14ac:dyDescent="0.3">
      <c r="A63" s="2">
        <v>62</v>
      </c>
      <c r="B63" s="4">
        <v>46362</v>
      </c>
      <c r="C63" s="2" t="s">
        <v>40</v>
      </c>
      <c r="D63" s="2" t="s">
        <v>175</v>
      </c>
      <c r="E63" s="2" t="s">
        <v>271</v>
      </c>
      <c r="F63" s="2" t="s">
        <v>272</v>
      </c>
      <c r="G63" s="2" t="s">
        <v>37</v>
      </c>
      <c r="H63" s="2" t="s">
        <v>177</v>
      </c>
      <c r="I63" s="2" t="s">
        <v>66</v>
      </c>
      <c r="J63" s="5">
        <v>2.5</v>
      </c>
      <c r="K63" s="5"/>
    </row>
    <row r="64" spans="1:11" ht="15.75" customHeight="1" x14ac:dyDescent="0.3">
      <c r="A64" s="2">
        <v>63</v>
      </c>
      <c r="B64" s="4">
        <v>46363</v>
      </c>
      <c r="C64" s="2" t="s">
        <v>40</v>
      </c>
      <c r="D64" s="2" t="s">
        <v>175</v>
      </c>
      <c r="E64" s="2" t="s">
        <v>273</v>
      </c>
      <c r="F64" s="2" t="s">
        <v>274</v>
      </c>
      <c r="G64" s="2" t="s">
        <v>37</v>
      </c>
      <c r="H64" s="2" t="s">
        <v>177</v>
      </c>
      <c r="I64" s="2" t="s">
        <v>66</v>
      </c>
      <c r="J64" s="5">
        <v>2.5</v>
      </c>
      <c r="K64" s="5"/>
    </row>
    <row r="65" spans="1:11" ht="15.75" customHeight="1" x14ac:dyDescent="0.3">
      <c r="A65" s="2">
        <v>64</v>
      </c>
      <c r="B65" s="4">
        <v>46364</v>
      </c>
      <c r="C65" s="2" t="s">
        <v>40</v>
      </c>
      <c r="D65" s="2" t="s">
        <v>175</v>
      </c>
      <c r="E65" s="2" t="s">
        <v>275</v>
      </c>
      <c r="F65" s="2" t="s">
        <v>276</v>
      </c>
      <c r="G65" s="2" t="s">
        <v>37</v>
      </c>
      <c r="H65" s="2" t="s">
        <v>177</v>
      </c>
      <c r="I65" s="2" t="s">
        <v>66</v>
      </c>
      <c r="J65" s="5">
        <v>2.5</v>
      </c>
      <c r="K65" s="5"/>
    </row>
    <row r="66" spans="1:11" ht="15.75" customHeight="1" x14ac:dyDescent="0.3">
      <c r="A66" s="2">
        <v>65</v>
      </c>
      <c r="B66" s="4">
        <v>46365</v>
      </c>
      <c r="C66" s="2" t="s">
        <v>40</v>
      </c>
      <c r="D66" s="2" t="s">
        <v>175</v>
      </c>
      <c r="E66" s="2" t="s">
        <v>277</v>
      </c>
      <c r="F66" s="2" t="s">
        <v>278</v>
      </c>
      <c r="G66" s="2" t="s">
        <v>37</v>
      </c>
      <c r="H66" s="2" t="s">
        <v>177</v>
      </c>
      <c r="I66" s="2" t="s">
        <v>66</v>
      </c>
      <c r="J66" s="5">
        <v>2.5</v>
      </c>
      <c r="K66" s="5"/>
    </row>
    <row r="67" spans="1:11" ht="15.75" customHeight="1" x14ac:dyDescent="0.3">
      <c r="A67" s="2">
        <v>66</v>
      </c>
      <c r="B67" s="4">
        <v>46366</v>
      </c>
      <c r="C67" s="2" t="s">
        <v>40</v>
      </c>
      <c r="D67" s="2" t="s">
        <v>175</v>
      </c>
      <c r="E67" s="2" t="s">
        <v>279</v>
      </c>
      <c r="F67" s="2" t="s">
        <v>280</v>
      </c>
      <c r="G67" s="2" t="s">
        <v>37</v>
      </c>
      <c r="H67" s="2" t="s">
        <v>177</v>
      </c>
      <c r="I67" s="2" t="s">
        <v>66</v>
      </c>
      <c r="J67" s="5">
        <v>2.5</v>
      </c>
      <c r="K67" s="5"/>
    </row>
    <row r="68" spans="1:11" ht="15.75" customHeight="1" x14ac:dyDescent="0.3">
      <c r="A68" s="2">
        <v>67</v>
      </c>
      <c r="B68" s="4">
        <v>46367</v>
      </c>
      <c r="C68" s="2" t="s">
        <v>40</v>
      </c>
      <c r="D68" s="2" t="s">
        <v>281</v>
      </c>
      <c r="E68" s="2" t="s">
        <v>282</v>
      </c>
      <c r="F68" s="2" t="s">
        <v>283</v>
      </c>
      <c r="G68" s="2" t="s">
        <v>37</v>
      </c>
      <c r="H68" s="2" t="s">
        <v>182</v>
      </c>
      <c r="I68" s="2" t="s">
        <v>66</v>
      </c>
      <c r="J68" s="5">
        <v>2.5</v>
      </c>
      <c r="K68" s="5"/>
    </row>
    <row r="69" spans="1:11" ht="15.75" customHeight="1" x14ac:dyDescent="0.3">
      <c r="A69" s="2">
        <v>68</v>
      </c>
      <c r="B69" s="4">
        <v>46368</v>
      </c>
      <c r="C69" s="2" t="s">
        <v>40</v>
      </c>
      <c r="D69" s="2" t="s">
        <v>284</v>
      </c>
      <c r="E69" s="2" t="s">
        <v>285</v>
      </c>
      <c r="F69" s="2" t="s">
        <v>286</v>
      </c>
      <c r="G69" s="2" t="s">
        <v>37</v>
      </c>
      <c r="H69" s="2" t="s">
        <v>182</v>
      </c>
      <c r="I69" s="2" t="s">
        <v>66</v>
      </c>
      <c r="J69" s="5">
        <v>2.5</v>
      </c>
      <c r="K69" s="5"/>
    </row>
    <row r="70" spans="1:11" ht="15.75" customHeight="1" x14ac:dyDescent="0.3">
      <c r="A70" s="2">
        <v>69</v>
      </c>
      <c r="B70" s="4">
        <v>46369</v>
      </c>
      <c r="C70" s="2" t="s">
        <v>40</v>
      </c>
      <c r="D70" s="2" t="s">
        <v>284</v>
      </c>
      <c r="E70" s="2" t="s">
        <v>287</v>
      </c>
      <c r="F70" s="2" t="s">
        <v>288</v>
      </c>
      <c r="G70" s="2" t="s">
        <v>37</v>
      </c>
      <c r="H70" s="2" t="s">
        <v>182</v>
      </c>
      <c r="I70" s="2" t="s">
        <v>66</v>
      </c>
      <c r="J70" s="5">
        <v>2.5</v>
      </c>
      <c r="K70" s="5"/>
    </row>
    <row r="71" spans="1:11" ht="15.75" customHeight="1" x14ac:dyDescent="0.3">
      <c r="A71" s="2">
        <v>70</v>
      </c>
      <c r="B71" s="4">
        <v>46370</v>
      </c>
      <c r="C71" s="2" t="s">
        <v>40</v>
      </c>
      <c r="D71" s="2" t="s">
        <v>289</v>
      </c>
      <c r="E71" s="2" t="s">
        <v>290</v>
      </c>
      <c r="F71" s="2" t="s">
        <v>291</v>
      </c>
      <c r="G71" s="2" t="s">
        <v>37</v>
      </c>
      <c r="H71" s="2"/>
      <c r="I71" s="2" t="s">
        <v>66</v>
      </c>
      <c r="J71" s="5">
        <v>2.5</v>
      </c>
      <c r="K71" s="5"/>
    </row>
    <row r="72" spans="1:11" ht="15.75" customHeight="1" x14ac:dyDescent="0.3">
      <c r="A72" s="2">
        <v>71</v>
      </c>
      <c r="B72" s="4">
        <v>46371</v>
      </c>
      <c r="C72" s="2" t="s">
        <v>40</v>
      </c>
      <c r="D72" s="2" t="s">
        <v>292</v>
      </c>
      <c r="E72" s="2" t="s">
        <v>293</v>
      </c>
      <c r="F72" s="2" t="s">
        <v>294</v>
      </c>
      <c r="G72" s="2" t="s">
        <v>37</v>
      </c>
      <c r="H72" s="2"/>
      <c r="I72" s="2" t="s">
        <v>66</v>
      </c>
      <c r="J72" s="5">
        <v>2.5</v>
      </c>
      <c r="K72" s="5"/>
    </row>
    <row r="73" spans="1:11" ht="15.75" customHeight="1" x14ac:dyDescent="0.3">
      <c r="A73" s="2">
        <v>72</v>
      </c>
      <c r="B73" s="4">
        <v>46372</v>
      </c>
      <c r="C73" s="2" t="s">
        <v>40</v>
      </c>
      <c r="D73" s="2" t="s">
        <v>292</v>
      </c>
      <c r="E73" s="2" t="s">
        <v>295</v>
      </c>
      <c r="F73" s="2" t="s">
        <v>296</v>
      </c>
      <c r="G73" s="2" t="s">
        <v>13</v>
      </c>
      <c r="H73" s="2"/>
      <c r="I73" s="2" t="s">
        <v>66</v>
      </c>
      <c r="J73" s="5">
        <v>2.5</v>
      </c>
      <c r="K73" s="5"/>
    </row>
    <row r="74" spans="1:11" ht="15.75" customHeight="1" x14ac:dyDescent="0.3">
      <c r="A74" s="2">
        <v>73</v>
      </c>
      <c r="B74" s="4">
        <v>46373</v>
      </c>
      <c r="C74" s="2" t="s">
        <v>40</v>
      </c>
      <c r="D74" s="2" t="s">
        <v>292</v>
      </c>
      <c r="E74" s="2" t="s">
        <v>297</v>
      </c>
      <c r="F74" s="2" t="s">
        <v>298</v>
      </c>
      <c r="G74" s="2" t="s">
        <v>13</v>
      </c>
      <c r="H74" s="2" t="s">
        <v>234</v>
      </c>
      <c r="I74" s="2" t="s">
        <v>66</v>
      </c>
      <c r="J74" s="5">
        <v>2.5</v>
      </c>
      <c r="K74" s="5"/>
    </row>
    <row r="75" spans="1:11" ht="15.75" customHeight="1" x14ac:dyDescent="0.3">
      <c r="A75" s="2">
        <v>74</v>
      </c>
      <c r="B75" s="4">
        <v>46374</v>
      </c>
      <c r="C75" s="2" t="s">
        <v>40</v>
      </c>
      <c r="D75" s="2" t="s">
        <v>292</v>
      </c>
      <c r="E75" s="2" t="s">
        <v>299</v>
      </c>
      <c r="F75" s="2" t="s">
        <v>300</v>
      </c>
      <c r="G75" s="2" t="s">
        <v>13</v>
      </c>
      <c r="H75" s="2"/>
      <c r="I75" s="2" t="s">
        <v>66</v>
      </c>
      <c r="J75" s="5">
        <v>2.5</v>
      </c>
      <c r="K75" s="5"/>
    </row>
    <row r="76" spans="1:11" ht="15.75" customHeight="1" x14ac:dyDescent="0.3">
      <c r="A76" s="2">
        <v>75</v>
      </c>
      <c r="B76" s="4">
        <v>46375</v>
      </c>
      <c r="C76" s="2" t="s">
        <v>40</v>
      </c>
      <c r="D76" s="2" t="s">
        <v>292</v>
      </c>
      <c r="E76" s="2" t="s">
        <v>301</v>
      </c>
      <c r="F76" s="2" t="s">
        <v>302</v>
      </c>
      <c r="G76" s="2" t="s">
        <v>13</v>
      </c>
      <c r="H76" s="2"/>
      <c r="I76" s="2" t="s">
        <v>66</v>
      </c>
      <c r="J76" s="5">
        <v>2.5</v>
      </c>
      <c r="K76" s="5"/>
    </row>
    <row r="77" spans="1:11" ht="15.75" customHeight="1" x14ac:dyDescent="0.3">
      <c r="A77" s="2">
        <v>76</v>
      </c>
      <c r="B77" s="4">
        <v>46376</v>
      </c>
      <c r="C77" s="2" t="s">
        <v>43</v>
      </c>
      <c r="D77" s="2" t="s">
        <v>303</v>
      </c>
      <c r="E77" s="2" t="s">
        <v>304</v>
      </c>
      <c r="F77" s="2" t="s">
        <v>305</v>
      </c>
      <c r="G77" s="2" t="s">
        <v>37</v>
      </c>
      <c r="H77" s="2"/>
      <c r="I77" s="2" t="s">
        <v>66</v>
      </c>
      <c r="J77" s="5">
        <v>3.5</v>
      </c>
      <c r="K77" s="5"/>
    </row>
    <row r="78" spans="1:11" ht="15.75" customHeight="1" x14ac:dyDescent="0.3">
      <c r="A78" s="2">
        <v>77</v>
      </c>
      <c r="B78" s="4">
        <v>46377</v>
      </c>
      <c r="C78" s="2" t="s">
        <v>43</v>
      </c>
      <c r="D78" s="2" t="s">
        <v>12</v>
      </c>
      <c r="E78" s="2" t="s">
        <v>306</v>
      </c>
      <c r="F78" s="2" t="s">
        <v>307</v>
      </c>
      <c r="G78" s="2" t="s">
        <v>13</v>
      </c>
      <c r="H78" s="2" t="s">
        <v>187</v>
      </c>
      <c r="I78" s="2" t="s">
        <v>66</v>
      </c>
      <c r="J78" s="5">
        <v>2.5</v>
      </c>
      <c r="K78" s="5"/>
    </row>
    <row r="79" spans="1:11" ht="15.75" customHeight="1" x14ac:dyDescent="0.3">
      <c r="A79" s="2">
        <v>78</v>
      </c>
      <c r="B79" s="4">
        <v>46378</v>
      </c>
      <c r="C79" s="2" t="s">
        <v>43</v>
      </c>
      <c r="D79" s="2" t="s">
        <v>12</v>
      </c>
      <c r="E79" s="2" t="s">
        <v>308</v>
      </c>
      <c r="F79" s="2" t="s">
        <v>309</v>
      </c>
      <c r="G79" s="2" t="s">
        <v>13</v>
      </c>
      <c r="H79" s="2" t="s">
        <v>187</v>
      </c>
      <c r="I79" s="2" t="s">
        <v>66</v>
      </c>
      <c r="J79" s="5">
        <v>2.5</v>
      </c>
      <c r="K79" s="5"/>
    </row>
    <row r="80" spans="1:11" ht="15.75" customHeight="1" x14ac:dyDescent="0.3">
      <c r="A80" s="2">
        <v>79</v>
      </c>
      <c r="B80" s="4">
        <v>46379</v>
      </c>
      <c r="C80" s="2" t="s">
        <v>43</v>
      </c>
      <c r="D80" s="2" t="s">
        <v>12</v>
      </c>
      <c r="E80" s="2" t="s">
        <v>277</v>
      </c>
      <c r="F80" s="2" t="s">
        <v>310</v>
      </c>
      <c r="G80" s="2" t="s">
        <v>13</v>
      </c>
      <c r="H80" s="2" t="s">
        <v>187</v>
      </c>
      <c r="I80" s="2" t="s">
        <v>66</v>
      </c>
      <c r="J80" s="5">
        <v>2.5</v>
      </c>
      <c r="K80" s="5"/>
    </row>
    <row r="81" spans="1:11" ht="15.75" customHeight="1" x14ac:dyDescent="0.3">
      <c r="A81" s="2">
        <v>80</v>
      </c>
      <c r="B81" s="4">
        <v>46380</v>
      </c>
      <c r="C81" s="2" t="s">
        <v>43</v>
      </c>
      <c r="D81" s="2" t="s">
        <v>12</v>
      </c>
      <c r="E81" s="2" t="s">
        <v>311</v>
      </c>
      <c r="F81" s="2" t="s">
        <v>312</v>
      </c>
      <c r="G81" s="2" t="s">
        <v>13</v>
      </c>
      <c r="H81" s="2" t="s">
        <v>187</v>
      </c>
      <c r="I81" s="2" t="s">
        <v>66</v>
      </c>
      <c r="J81" s="5">
        <v>2.5</v>
      </c>
      <c r="K81" s="5"/>
    </row>
    <row r="82" spans="1:11" ht="15.75" customHeight="1" x14ac:dyDescent="0.3">
      <c r="A82" s="2">
        <v>81</v>
      </c>
      <c r="B82" s="4">
        <v>46381</v>
      </c>
      <c r="C82" s="2" t="s">
        <v>43</v>
      </c>
      <c r="D82" s="2" t="s">
        <v>12</v>
      </c>
      <c r="E82" s="2" t="s">
        <v>313</v>
      </c>
      <c r="F82" s="2" t="s">
        <v>314</v>
      </c>
      <c r="G82" s="2" t="s">
        <v>13</v>
      </c>
      <c r="H82" s="2" t="s">
        <v>187</v>
      </c>
      <c r="I82" s="2" t="s">
        <v>66</v>
      </c>
      <c r="J82" s="5">
        <v>2.5</v>
      </c>
      <c r="K82" s="5"/>
    </row>
    <row r="83" spans="1:11" ht="15.75" customHeight="1" x14ac:dyDescent="0.3">
      <c r="A83" s="2">
        <v>82</v>
      </c>
      <c r="B83" s="4">
        <v>46382</v>
      </c>
      <c r="C83" s="2" t="s">
        <v>43</v>
      </c>
      <c r="D83" s="2" t="s">
        <v>12</v>
      </c>
      <c r="E83" s="2" t="s">
        <v>315</v>
      </c>
      <c r="F83" s="2" t="s">
        <v>316</v>
      </c>
      <c r="G83" s="2" t="s">
        <v>13</v>
      </c>
      <c r="H83" s="2" t="s">
        <v>187</v>
      </c>
      <c r="I83" s="2" t="s">
        <v>66</v>
      </c>
      <c r="J83" s="5">
        <v>2.5</v>
      </c>
      <c r="K83" s="5"/>
    </row>
    <row r="84" spans="1:11" ht="15.75" customHeight="1" x14ac:dyDescent="0.3">
      <c r="A84" s="2">
        <v>83</v>
      </c>
      <c r="B84" s="4">
        <v>46383</v>
      </c>
      <c r="C84" s="2" t="s">
        <v>43</v>
      </c>
      <c r="D84" s="2" t="s">
        <v>12</v>
      </c>
      <c r="E84" s="2" t="s">
        <v>317</v>
      </c>
      <c r="F84" s="2" t="s">
        <v>318</v>
      </c>
      <c r="G84" s="2" t="s">
        <v>13</v>
      </c>
      <c r="H84" s="2" t="s">
        <v>187</v>
      </c>
      <c r="I84" s="2" t="s">
        <v>66</v>
      </c>
      <c r="J84" s="5">
        <v>2.5</v>
      </c>
      <c r="K84" s="5"/>
    </row>
    <row r="85" spans="1:11" ht="15.75" customHeight="1" x14ac:dyDescent="0.3">
      <c r="A85" s="2">
        <v>84</v>
      </c>
      <c r="B85" s="4">
        <v>46384</v>
      </c>
      <c r="C85" s="2" t="s">
        <v>43</v>
      </c>
      <c r="D85" s="2" t="s">
        <v>12</v>
      </c>
      <c r="E85" s="2" t="s">
        <v>319</v>
      </c>
      <c r="F85" s="2" t="s">
        <v>320</v>
      </c>
      <c r="G85" s="2" t="s">
        <v>13</v>
      </c>
      <c r="H85" s="2" t="s">
        <v>187</v>
      </c>
      <c r="I85" s="2" t="s">
        <v>66</v>
      </c>
      <c r="J85" s="5">
        <v>2.5</v>
      </c>
      <c r="K85" s="5"/>
    </row>
    <row r="86" spans="1:11" ht="15.75" customHeight="1" x14ac:dyDescent="0.3">
      <c r="A86" s="2">
        <v>85</v>
      </c>
      <c r="B86" s="4">
        <v>46385</v>
      </c>
      <c r="C86" s="2" t="s">
        <v>43</v>
      </c>
      <c r="D86" s="2" t="s">
        <v>12</v>
      </c>
      <c r="E86" s="2" t="s">
        <v>321</v>
      </c>
      <c r="F86" s="2" t="s">
        <v>322</v>
      </c>
      <c r="G86" s="2" t="s">
        <v>13</v>
      </c>
      <c r="H86" s="2" t="s">
        <v>187</v>
      </c>
      <c r="I86" s="2" t="s">
        <v>66</v>
      </c>
      <c r="J86" s="5">
        <v>2.5</v>
      </c>
      <c r="K86" s="5"/>
    </row>
    <row r="87" spans="1:11" ht="15.75" customHeight="1" x14ac:dyDescent="0.3">
      <c r="A87" s="2">
        <v>86</v>
      </c>
      <c r="B87" s="4">
        <v>46386</v>
      </c>
      <c r="C87" s="2" t="s">
        <v>43</v>
      </c>
      <c r="D87" s="2" t="s">
        <v>12</v>
      </c>
      <c r="E87" s="2" t="s">
        <v>323</v>
      </c>
      <c r="F87" s="2" t="s">
        <v>324</v>
      </c>
      <c r="G87" s="2" t="s">
        <v>13</v>
      </c>
      <c r="H87" s="2" t="s">
        <v>187</v>
      </c>
      <c r="I87" s="2" t="s">
        <v>66</v>
      </c>
      <c r="J87" s="5">
        <v>2.5</v>
      </c>
      <c r="K87" s="5"/>
    </row>
    <row r="88" spans="1:11" ht="15.75" customHeight="1" x14ac:dyDescent="0.3">
      <c r="A88" s="2">
        <v>87</v>
      </c>
      <c r="B88" s="4">
        <v>46387</v>
      </c>
      <c r="C88" s="2" t="s">
        <v>43</v>
      </c>
      <c r="D88" s="2" t="s">
        <v>12</v>
      </c>
      <c r="E88" s="2" t="s">
        <v>325</v>
      </c>
      <c r="F88" s="2" t="s">
        <v>326</v>
      </c>
      <c r="G88" s="2" t="s">
        <v>13</v>
      </c>
      <c r="H88" s="2" t="s">
        <v>187</v>
      </c>
      <c r="I88" s="2" t="s">
        <v>66</v>
      </c>
      <c r="J88" s="5">
        <v>2.5</v>
      </c>
      <c r="K88" s="5"/>
    </row>
    <row r="89" spans="1:11" ht="15.75" customHeight="1" x14ac:dyDescent="0.3">
      <c r="A89" s="2">
        <v>88</v>
      </c>
      <c r="B89" s="4">
        <v>46388</v>
      </c>
      <c r="C89" s="2" t="s">
        <v>43</v>
      </c>
      <c r="D89" s="2" t="s">
        <v>12</v>
      </c>
      <c r="E89" s="2" t="s">
        <v>327</v>
      </c>
      <c r="F89" s="2" t="s">
        <v>328</v>
      </c>
      <c r="G89" s="2" t="s">
        <v>13</v>
      </c>
      <c r="H89" s="2" t="s">
        <v>187</v>
      </c>
      <c r="I89" s="2" t="s">
        <v>66</v>
      </c>
      <c r="J89" s="5">
        <v>2.5</v>
      </c>
      <c r="K89" s="5"/>
    </row>
    <row r="90" spans="1:11" ht="15.75" customHeight="1" x14ac:dyDescent="0.3">
      <c r="A90" s="2">
        <v>89</v>
      </c>
      <c r="B90" s="4">
        <v>46389</v>
      </c>
      <c r="C90" s="2" t="s">
        <v>43</v>
      </c>
      <c r="D90" s="2" t="s">
        <v>12</v>
      </c>
      <c r="E90" s="2" t="s">
        <v>329</v>
      </c>
      <c r="F90" s="2" t="s">
        <v>330</v>
      </c>
      <c r="G90" s="2" t="s">
        <v>13</v>
      </c>
      <c r="H90" s="2" t="s">
        <v>187</v>
      </c>
      <c r="I90" s="2" t="s">
        <v>66</v>
      </c>
      <c r="J90" s="5">
        <v>2.5</v>
      </c>
      <c r="K90" s="5"/>
    </row>
    <row r="91" spans="1:11" ht="15.75" customHeight="1" x14ac:dyDescent="0.3">
      <c r="A91" s="2">
        <v>90</v>
      </c>
      <c r="B91" s="4">
        <v>46390</v>
      </c>
      <c r="C91" s="2" t="s">
        <v>43</v>
      </c>
      <c r="D91" s="2" t="s">
        <v>12</v>
      </c>
      <c r="E91" s="2" t="s">
        <v>331</v>
      </c>
      <c r="F91" s="2" t="s">
        <v>332</v>
      </c>
      <c r="G91" s="2" t="s">
        <v>13</v>
      </c>
      <c r="H91" s="2" t="s">
        <v>187</v>
      </c>
      <c r="I91" s="2" t="s">
        <v>66</v>
      </c>
      <c r="J91" s="5">
        <v>2.5</v>
      </c>
      <c r="K91" s="5"/>
    </row>
    <row r="92" spans="1:11" ht="15.75" customHeight="1" x14ac:dyDescent="0.3">
      <c r="A92" s="2">
        <v>91</v>
      </c>
      <c r="B92" s="4">
        <v>46391</v>
      </c>
      <c r="C92" s="2" t="s">
        <v>43</v>
      </c>
      <c r="D92" s="2" t="s">
        <v>12</v>
      </c>
      <c r="E92" s="2" t="s">
        <v>333</v>
      </c>
      <c r="F92" s="2" t="s">
        <v>334</v>
      </c>
      <c r="G92" s="2" t="s">
        <v>13</v>
      </c>
      <c r="H92" s="2" t="s">
        <v>187</v>
      </c>
      <c r="I92" s="2" t="s">
        <v>66</v>
      </c>
      <c r="J92" s="5">
        <v>2.5</v>
      </c>
      <c r="K92" s="5"/>
    </row>
    <row r="93" spans="1:11" ht="15.75" customHeight="1" x14ac:dyDescent="0.3">
      <c r="A93" s="2">
        <v>92</v>
      </c>
      <c r="B93" s="4">
        <v>46392</v>
      </c>
      <c r="C93" s="2" t="s">
        <v>43</v>
      </c>
      <c r="D93" s="2" t="s">
        <v>12</v>
      </c>
      <c r="E93" s="2" t="s">
        <v>335</v>
      </c>
      <c r="F93" s="2" t="s">
        <v>336</v>
      </c>
      <c r="G93" s="2" t="s">
        <v>13</v>
      </c>
      <c r="H93" s="2" t="s">
        <v>187</v>
      </c>
      <c r="I93" s="2" t="s">
        <v>66</v>
      </c>
      <c r="J93" s="5">
        <v>2.5</v>
      </c>
      <c r="K93" s="5"/>
    </row>
    <row r="94" spans="1:11" ht="15.75" customHeight="1" x14ac:dyDescent="0.3">
      <c r="A94" s="2">
        <v>93</v>
      </c>
      <c r="B94" s="4">
        <v>46393</v>
      </c>
      <c r="C94" s="2" t="s">
        <v>43</v>
      </c>
      <c r="D94" s="2" t="s">
        <v>12</v>
      </c>
      <c r="E94" s="2" t="s">
        <v>337</v>
      </c>
      <c r="F94" s="2" t="s">
        <v>338</v>
      </c>
      <c r="G94" s="2" t="s">
        <v>13</v>
      </c>
      <c r="H94" s="2" t="s">
        <v>187</v>
      </c>
      <c r="I94" s="2" t="s">
        <v>66</v>
      </c>
      <c r="J94" s="5">
        <v>2.5</v>
      </c>
      <c r="K94" s="5"/>
    </row>
    <row r="95" spans="1:11" ht="15.75" customHeight="1" x14ac:dyDescent="0.3">
      <c r="A95" s="2">
        <v>94</v>
      </c>
      <c r="B95" s="4">
        <v>46394</v>
      </c>
      <c r="C95" s="2" t="s">
        <v>43</v>
      </c>
      <c r="D95" s="2" t="s">
        <v>12</v>
      </c>
      <c r="E95" s="2" t="s">
        <v>339</v>
      </c>
      <c r="F95" s="2" t="s">
        <v>340</v>
      </c>
      <c r="G95" s="2" t="s">
        <v>13</v>
      </c>
      <c r="H95" s="2" t="s">
        <v>187</v>
      </c>
      <c r="I95" s="2" t="s">
        <v>66</v>
      </c>
      <c r="J95" s="5">
        <v>2.5</v>
      </c>
      <c r="K95" s="5"/>
    </row>
    <row r="96" spans="1:11" ht="15.75" customHeight="1" x14ac:dyDescent="0.3">
      <c r="A96" s="2">
        <v>95</v>
      </c>
      <c r="B96" s="4">
        <v>46395</v>
      </c>
      <c r="C96" s="2" t="s">
        <v>43</v>
      </c>
      <c r="D96" s="2" t="s">
        <v>12</v>
      </c>
      <c r="E96" s="2" t="s">
        <v>341</v>
      </c>
      <c r="F96" s="2" t="s">
        <v>342</v>
      </c>
      <c r="G96" s="2" t="s">
        <v>13</v>
      </c>
      <c r="H96" s="2" t="s">
        <v>187</v>
      </c>
      <c r="I96" s="2" t="s">
        <v>66</v>
      </c>
      <c r="J96" s="5">
        <v>2.5</v>
      </c>
      <c r="K96" s="5"/>
    </row>
    <row r="97" spans="1:11" ht="15.75" customHeight="1" x14ac:dyDescent="0.3">
      <c r="A97" s="2">
        <v>96</v>
      </c>
      <c r="B97" s="4">
        <v>46396</v>
      </c>
      <c r="C97" s="2" t="s">
        <v>43</v>
      </c>
      <c r="D97" s="2" t="s">
        <v>12</v>
      </c>
      <c r="E97" s="2" t="s">
        <v>343</v>
      </c>
      <c r="F97" s="2" t="s">
        <v>344</v>
      </c>
      <c r="G97" s="2" t="s">
        <v>13</v>
      </c>
      <c r="H97" s="2" t="s">
        <v>187</v>
      </c>
      <c r="I97" s="2" t="s">
        <v>66</v>
      </c>
      <c r="J97" s="5">
        <v>2.5</v>
      </c>
      <c r="K97" s="5"/>
    </row>
    <row r="98" spans="1:11" ht="15.75" customHeight="1" x14ac:dyDescent="0.3">
      <c r="A98" s="2">
        <v>97</v>
      </c>
      <c r="B98" s="4">
        <v>46397</v>
      </c>
      <c r="C98" s="2" t="s">
        <v>43</v>
      </c>
      <c r="D98" s="2" t="s">
        <v>303</v>
      </c>
      <c r="E98" s="2" t="s">
        <v>345</v>
      </c>
      <c r="F98" s="2" t="s">
        <v>346</v>
      </c>
      <c r="G98" s="2" t="s">
        <v>13</v>
      </c>
      <c r="H98" s="2" t="s">
        <v>187</v>
      </c>
      <c r="I98" s="2" t="s">
        <v>66</v>
      </c>
      <c r="J98" s="5">
        <v>3.5</v>
      </c>
      <c r="K98" s="5"/>
    </row>
    <row r="99" spans="1:11" ht="15.75" customHeight="1" x14ac:dyDescent="0.3">
      <c r="A99" s="2">
        <v>98</v>
      </c>
      <c r="B99" s="4">
        <v>46398</v>
      </c>
      <c r="C99" s="2" t="s">
        <v>43</v>
      </c>
      <c r="D99" s="2" t="s">
        <v>303</v>
      </c>
      <c r="E99" s="2" t="s">
        <v>347</v>
      </c>
      <c r="F99" s="2" t="s">
        <v>348</v>
      </c>
      <c r="G99" s="2" t="s">
        <v>32</v>
      </c>
      <c r="H99" s="2" t="s">
        <v>187</v>
      </c>
      <c r="I99" s="2" t="s">
        <v>66</v>
      </c>
      <c r="J99" s="5">
        <v>3.5</v>
      </c>
      <c r="K99" s="5"/>
    </row>
    <row r="100" spans="1:11" ht="15.75" customHeight="1" x14ac:dyDescent="0.3">
      <c r="A100" s="2">
        <v>99</v>
      </c>
      <c r="B100" s="4">
        <v>46399</v>
      </c>
      <c r="C100" s="2" t="s">
        <v>43</v>
      </c>
      <c r="D100" s="2" t="s">
        <v>303</v>
      </c>
      <c r="E100" s="2" t="s">
        <v>349</v>
      </c>
      <c r="F100" s="2" t="s">
        <v>350</v>
      </c>
      <c r="G100" s="2" t="s">
        <v>32</v>
      </c>
      <c r="H100" s="2" t="s">
        <v>187</v>
      </c>
      <c r="I100" s="2" t="s">
        <v>66</v>
      </c>
      <c r="J100" s="5">
        <v>3.5</v>
      </c>
      <c r="K100" s="5"/>
    </row>
    <row r="101" spans="1:11" ht="15.75" customHeight="1" x14ac:dyDescent="0.3">
      <c r="A101" s="2">
        <v>100</v>
      </c>
      <c r="B101" s="4">
        <v>46400</v>
      </c>
      <c r="C101" s="2" t="s">
        <v>43</v>
      </c>
      <c r="D101" s="2" t="s">
        <v>303</v>
      </c>
      <c r="E101" s="2" t="s">
        <v>351</v>
      </c>
      <c r="F101" s="2" t="s">
        <v>352</v>
      </c>
      <c r="G101" s="2" t="s">
        <v>32</v>
      </c>
      <c r="H101" s="2"/>
      <c r="I101" s="2" t="s">
        <v>66</v>
      </c>
      <c r="J101" s="5">
        <v>3.5</v>
      </c>
      <c r="K101" s="5"/>
    </row>
    <row r="102" spans="1:11" ht="15.75" customHeight="1" x14ac:dyDescent="0.3">
      <c r="A102" s="2">
        <v>101</v>
      </c>
      <c r="B102" s="4">
        <v>46401</v>
      </c>
      <c r="C102" s="2" t="s">
        <v>43</v>
      </c>
      <c r="D102" s="2" t="s">
        <v>303</v>
      </c>
      <c r="E102" s="2" t="s">
        <v>353</v>
      </c>
      <c r="F102" s="2" t="s">
        <v>354</v>
      </c>
      <c r="G102" s="2" t="s">
        <v>32</v>
      </c>
      <c r="H102" s="2"/>
      <c r="I102" s="2" t="s">
        <v>66</v>
      </c>
      <c r="J102" s="5">
        <v>3.5</v>
      </c>
      <c r="K102" s="5"/>
    </row>
    <row r="103" spans="1:11" ht="15.75" customHeight="1" x14ac:dyDescent="0.3">
      <c r="A103" s="2">
        <v>102</v>
      </c>
      <c r="B103" s="4">
        <v>46402</v>
      </c>
      <c r="C103" s="2" t="s">
        <v>43</v>
      </c>
      <c r="D103" s="2" t="s">
        <v>355</v>
      </c>
      <c r="E103" s="2" t="s">
        <v>356</v>
      </c>
      <c r="F103" s="2" t="s">
        <v>357</v>
      </c>
      <c r="G103" s="2" t="s">
        <v>13</v>
      </c>
      <c r="H103" s="2" t="s">
        <v>187</v>
      </c>
      <c r="I103" s="2" t="s">
        <v>66</v>
      </c>
      <c r="J103" s="5">
        <v>2.5</v>
      </c>
      <c r="K103" s="5"/>
    </row>
    <row r="104" spans="1:11" ht="15.75" customHeight="1" x14ac:dyDescent="0.3">
      <c r="A104" s="2">
        <v>103</v>
      </c>
      <c r="B104" s="4">
        <v>46403</v>
      </c>
      <c r="C104" s="2" t="s">
        <v>43</v>
      </c>
      <c r="D104" s="2" t="s">
        <v>355</v>
      </c>
      <c r="E104" s="2" t="s">
        <v>358</v>
      </c>
      <c r="F104" s="2" t="s">
        <v>359</v>
      </c>
      <c r="G104" s="2" t="s">
        <v>13</v>
      </c>
      <c r="H104" s="2" t="s">
        <v>187</v>
      </c>
      <c r="I104" s="2" t="s">
        <v>66</v>
      </c>
      <c r="J104" s="5">
        <v>2.5</v>
      </c>
      <c r="K104" s="5"/>
    </row>
    <row r="105" spans="1:11" ht="15.75" customHeight="1" x14ac:dyDescent="0.3">
      <c r="A105" s="2">
        <v>104</v>
      </c>
      <c r="B105" s="4">
        <v>46404</v>
      </c>
      <c r="C105" s="2" t="s">
        <v>43</v>
      </c>
      <c r="D105" s="2" t="s">
        <v>355</v>
      </c>
      <c r="E105" s="2" t="s">
        <v>360</v>
      </c>
      <c r="F105" s="2" t="s">
        <v>361</v>
      </c>
      <c r="G105" s="2" t="s">
        <v>13</v>
      </c>
      <c r="H105" s="2" t="s">
        <v>187</v>
      </c>
      <c r="I105" s="2" t="s">
        <v>66</v>
      </c>
      <c r="J105" s="5">
        <v>2.5</v>
      </c>
      <c r="K105" s="5"/>
    </row>
    <row r="106" spans="1:11" ht="15.75" customHeight="1" x14ac:dyDescent="0.3">
      <c r="A106" s="2">
        <v>105</v>
      </c>
      <c r="B106" s="4">
        <v>46405</v>
      </c>
      <c r="C106" s="2" t="s">
        <v>43</v>
      </c>
      <c r="D106" s="2" t="s">
        <v>355</v>
      </c>
      <c r="E106" s="2" t="s">
        <v>362</v>
      </c>
      <c r="F106" s="2" t="s">
        <v>363</v>
      </c>
      <c r="G106" s="2" t="s">
        <v>13</v>
      </c>
      <c r="H106" s="2"/>
      <c r="I106" s="2" t="s">
        <v>66</v>
      </c>
      <c r="J106" s="5">
        <v>2.5</v>
      </c>
      <c r="K106" s="5"/>
    </row>
    <row r="107" spans="1:11" ht="15.75" customHeight="1" x14ac:dyDescent="0.3">
      <c r="A107" s="2">
        <v>106</v>
      </c>
      <c r="B107" s="4">
        <v>46406</v>
      </c>
      <c r="C107" s="2" t="s">
        <v>46</v>
      </c>
      <c r="D107" s="2" t="s">
        <v>14</v>
      </c>
      <c r="E107" s="2" t="s">
        <v>364</v>
      </c>
      <c r="F107" s="2" t="s">
        <v>365</v>
      </c>
      <c r="G107" s="2" t="s">
        <v>15</v>
      </c>
      <c r="H107" s="2" t="s">
        <v>197</v>
      </c>
      <c r="I107" s="2" t="s">
        <v>66</v>
      </c>
      <c r="J107" s="5">
        <v>2.5</v>
      </c>
      <c r="K107" s="5"/>
    </row>
    <row r="108" spans="1:11" ht="15.75" customHeight="1" x14ac:dyDescent="0.3">
      <c r="A108" s="2">
        <v>107</v>
      </c>
      <c r="B108" s="4">
        <v>46407</v>
      </c>
      <c r="C108" s="2" t="s">
        <v>46</v>
      </c>
      <c r="D108" s="2" t="s">
        <v>14</v>
      </c>
      <c r="E108" s="2" t="s">
        <v>366</v>
      </c>
      <c r="F108" s="2" t="s">
        <v>367</v>
      </c>
      <c r="G108" s="2" t="s">
        <v>15</v>
      </c>
      <c r="H108" s="2" t="s">
        <v>197</v>
      </c>
      <c r="I108" s="2" t="s">
        <v>66</v>
      </c>
      <c r="J108" s="5">
        <v>2.5</v>
      </c>
      <c r="K108" s="5"/>
    </row>
    <row r="109" spans="1:11" ht="15.75" customHeight="1" x14ac:dyDescent="0.3">
      <c r="A109" s="2">
        <v>108</v>
      </c>
      <c r="B109" s="4">
        <v>46408</v>
      </c>
      <c r="C109" s="2" t="s">
        <v>46</v>
      </c>
      <c r="D109" s="2" t="s">
        <v>14</v>
      </c>
      <c r="E109" s="2" t="s">
        <v>368</v>
      </c>
      <c r="F109" s="2" t="s">
        <v>369</v>
      </c>
      <c r="G109" s="2" t="s">
        <v>15</v>
      </c>
      <c r="H109" s="2" t="s">
        <v>197</v>
      </c>
      <c r="I109" s="2" t="s">
        <v>66</v>
      </c>
      <c r="J109" s="5">
        <v>2.5</v>
      </c>
      <c r="K109" s="5"/>
    </row>
    <row r="110" spans="1:11" ht="15.75" customHeight="1" x14ac:dyDescent="0.3">
      <c r="A110" s="2">
        <v>109</v>
      </c>
      <c r="B110" s="4">
        <v>46409</v>
      </c>
      <c r="C110" s="2" t="s">
        <v>46</v>
      </c>
      <c r="D110" s="2" t="s">
        <v>14</v>
      </c>
      <c r="E110" s="2" t="s">
        <v>370</v>
      </c>
      <c r="F110" s="2" t="s">
        <v>371</v>
      </c>
      <c r="G110" s="2" t="s">
        <v>15</v>
      </c>
      <c r="H110" s="2" t="s">
        <v>197</v>
      </c>
      <c r="I110" s="2" t="s">
        <v>66</v>
      </c>
      <c r="J110" s="5">
        <v>2.5</v>
      </c>
      <c r="K110" s="5"/>
    </row>
    <row r="111" spans="1:11" ht="15.75" customHeight="1" x14ac:dyDescent="0.3">
      <c r="A111" s="2">
        <v>110</v>
      </c>
      <c r="B111" s="4">
        <v>46410</v>
      </c>
      <c r="C111" s="2" t="s">
        <v>46</v>
      </c>
      <c r="D111" s="2" t="s">
        <v>14</v>
      </c>
      <c r="E111" s="2" t="s">
        <v>372</v>
      </c>
      <c r="F111" s="2" t="s">
        <v>373</v>
      </c>
      <c r="G111" s="2" t="s">
        <v>15</v>
      </c>
      <c r="H111" s="2" t="s">
        <v>197</v>
      </c>
      <c r="I111" s="2" t="s">
        <v>66</v>
      </c>
      <c r="J111" s="5">
        <v>2.5</v>
      </c>
      <c r="K111" s="5"/>
    </row>
    <row r="112" spans="1:11" ht="15.75" customHeight="1" x14ac:dyDescent="0.3">
      <c r="A112" s="2">
        <v>111</v>
      </c>
      <c r="B112" s="4">
        <v>46411</v>
      </c>
      <c r="C112" s="2" t="s">
        <v>46</v>
      </c>
      <c r="D112" s="2" t="s">
        <v>14</v>
      </c>
      <c r="E112" s="2" t="s">
        <v>374</v>
      </c>
      <c r="F112" s="2" t="s">
        <v>375</v>
      </c>
      <c r="G112" s="2" t="s">
        <v>15</v>
      </c>
      <c r="H112" s="2" t="s">
        <v>197</v>
      </c>
      <c r="I112" s="2" t="s">
        <v>66</v>
      </c>
      <c r="J112" s="5">
        <v>2.5</v>
      </c>
      <c r="K112" s="5"/>
    </row>
    <row r="113" spans="1:11" ht="15.75" customHeight="1" x14ac:dyDescent="0.3">
      <c r="A113" s="2">
        <v>112</v>
      </c>
      <c r="B113" s="4">
        <v>46412</v>
      </c>
      <c r="C113" s="2" t="s">
        <v>46</v>
      </c>
      <c r="D113" s="2" t="s">
        <v>14</v>
      </c>
      <c r="E113" s="2" t="s">
        <v>376</v>
      </c>
      <c r="F113" s="2" t="s">
        <v>377</v>
      </c>
      <c r="G113" s="2" t="s">
        <v>24</v>
      </c>
      <c r="H113" s="2" t="s">
        <v>197</v>
      </c>
      <c r="I113" s="2" t="s">
        <v>66</v>
      </c>
      <c r="J113" s="5">
        <v>2.5</v>
      </c>
      <c r="K113" s="5"/>
    </row>
    <row r="114" spans="1:11" ht="15.75" customHeight="1" x14ac:dyDescent="0.3">
      <c r="A114" s="2">
        <v>113</v>
      </c>
      <c r="B114" s="4">
        <v>46413</v>
      </c>
      <c r="C114" s="2" t="s">
        <v>46</v>
      </c>
      <c r="D114" s="2" t="s">
        <v>23</v>
      </c>
      <c r="E114" s="2" t="s">
        <v>378</v>
      </c>
      <c r="F114" s="2" t="s">
        <v>379</v>
      </c>
      <c r="G114" s="2" t="s">
        <v>24</v>
      </c>
      <c r="H114" s="2" t="s">
        <v>202</v>
      </c>
      <c r="I114" s="2" t="s">
        <v>66</v>
      </c>
      <c r="J114" s="5">
        <v>2.5</v>
      </c>
      <c r="K114" s="5"/>
    </row>
    <row r="115" spans="1:11" ht="15.75" customHeight="1" x14ac:dyDescent="0.3">
      <c r="A115" s="2">
        <v>114</v>
      </c>
      <c r="B115" s="4">
        <v>46414</v>
      </c>
      <c r="C115" s="2" t="s">
        <v>46</v>
      </c>
      <c r="D115" s="2" t="s">
        <v>23</v>
      </c>
      <c r="E115" s="2" t="s">
        <v>380</v>
      </c>
      <c r="F115" s="2" t="s">
        <v>381</v>
      </c>
      <c r="G115" s="2" t="s">
        <v>24</v>
      </c>
      <c r="H115" s="2" t="s">
        <v>202</v>
      </c>
      <c r="I115" s="2" t="s">
        <v>66</v>
      </c>
      <c r="J115" s="5">
        <v>2.5</v>
      </c>
      <c r="K115" s="5"/>
    </row>
    <row r="116" spans="1:11" ht="15.75" customHeight="1" x14ac:dyDescent="0.3">
      <c r="A116" s="2">
        <v>115</v>
      </c>
      <c r="B116" s="4">
        <v>46415</v>
      </c>
      <c r="C116" s="2" t="s">
        <v>46</v>
      </c>
      <c r="D116" s="2" t="s">
        <v>23</v>
      </c>
      <c r="E116" s="2" t="s">
        <v>382</v>
      </c>
      <c r="F116" s="2" t="s">
        <v>383</v>
      </c>
      <c r="G116" s="2" t="s">
        <v>24</v>
      </c>
      <c r="H116" s="2" t="s">
        <v>202</v>
      </c>
      <c r="I116" s="2" t="s">
        <v>66</v>
      </c>
      <c r="J116" s="5">
        <v>2.5</v>
      </c>
      <c r="K116" s="5"/>
    </row>
    <row r="117" spans="1:11" ht="15.75" customHeight="1" x14ac:dyDescent="0.3">
      <c r="A117" s="2">
        <v>116</v>
      </c>
      <c r="B117" s="4">
        <v>46416</v>
      </c>
      <c r="C117" s="2" t="s">
        <v>46</v>
      </c>
      <c r="D117" s="2" t="s">
        <v>14</v>
      </c>
      <c r="E117" s="2" t="s">
        <v>384</v>
      </c>
      <c r="F117" s="2" t="s">
        <v>385</v>
      </c>
      <c r="G117" s="2" t="s">
        <v>15</v>
      </c>
      <c r="H117" s="2" t="s">
        <v>197</v>
      </c>
      <c r="I117" s="2" t="s">
        <v>66</v>
      </c>
      <c r="J117" s="5">
        <v>2.5</v>
      </c>
      <c r="K117" s="5"/>
    </row>
    <row r="118" spans="1:11" ht="15.75" customHeight="1" x14ac:dyDescent="0.3">
      <c r="A118" s="2">
        <v>117</v>
      </c>
      <c r="B118" s="4">
        <v>46417</v>
      </c>
      <c r="C118" s="2" t="s">
        <v>46</v>
      </c>
      <c r="D118" s="2" t="s">
        <v>14</v>
      </c>
      <c r="E118" s="2" t="s">
        <v>386</v>
      </c>
      <c r="F118" s="2" t="s">
        <v>387</v>
      </c>
      <c r="G118" s="2" t="s">
        <v>24</v>
      </c>
      <c r="H118" s="2" t="s">
        <v>197</v>
      </c>
      <c r="I118" s="2" t="s">
        <v>66</v>
      </c>
      <c r="J118" s="5">
        <v>2.5</v>
      </c>
      <c r="K118" s="5"/>
    </row>
    <row r="119" spans="1:11" ht="15.75" customHeight="1" x14ac:dyDescent="0.3">
      <c r="A119" s="2">
        <v>118</v>
      </c>
      <c r="B119" s="4">
        <v>46418</v>
      </c>
      <c r="C119" s="2" t="s">
        <v>46</v>
      </c>
      <c r="D119" s="2" t="s">
        <v>14</v>
      </c>
      <c r="E119" s="2" t="s">
        <v>388</v>
      </c>
      <c r="F119" s="2" t="s">
        <v>389</v>
      </c>
      <c r="G119" s="2" t="s">
        <v>15</v>
      </c>
      <c r="H119" s="2" t="s">
        <v>197</v>
      </c>
      <c r="I119" s="2" t="s">
        <v>66</v>
      </c>
      <c r="J119" s="5">
        <v>2.5</v>
      </c>
      <c r="K119" s="5"/>
    </row>
    <row r="120" spans="1:11" ht="15.75" customHeight="1" x14ac:dyDescent="0.3">
      <c r="A120" s="2">
        <v>119</v>
      </c>
      <c r="B120" s="4">
        <v>46419</v>
      </c>
      <c r="C120" s="2" t="s">
        <v>46</v>
      </c>
      <c r="D120" s="2" t="s">
        <v>390</v>
      </c>
      <c r="E120" s="2" t="s">
        <v>391</v>
      </c>
      <c r="F120" s="2" t="s">
        <v>392</v>
      </c>
      <c r="G120" s="2" t="s">
        <v>29</v>
      </c>
      <c r="H120" s="2" t="s">
        <v>206</v>
      </c>
      <c r="I120" s="2" t="s">
        <v>66</v>
      </c>
      <c r="J120" s="5">
        <v>2.5</v>
      </c>
      <c r="K120" s="5"/>
    </row>
    <row r="121" spans="1:11" ht="15.75" customHeight="1" x14ac:dyDescent="0.3">
      <c r="A121" s="2">
        <v>120</v>
      </c>
      <c r="B121" s="4">
        <v>46420</v>
      </c>
      <c r="C121" s="2" t="s">
        <v>46</v>
      </c>
      <c r="D121" s="2" t="s">
        <v>390</v>
      </c>
      <c r="E121" s="2" t="s">
        <v>393</v>
      </c>
      <c r="F121" s="2" t="s">
        <v>394</v>
      </c>
      <c r="G121" s="2" t="s">
        <v>15</v>
      </c>
      <c r="H121" s="2" t="s">
        <v>206</v>
      </c>
      <c r="I121" s="2" t="s">
        <v>66</v>
      </c>
      <c r="J121" s="5">
        <v>2.5</v>
      </c>
      <c r="K121" s="5"/>
    </row>
    <row r="122" spans="1:11" ht="15.75" customHeight="1" x14ac:dyDescent="0.3">
      <c r="A122" s="2">
        <v>121</v>
      </c>
      <c r="B122" s="4">
        <v>46421</v>
      </c>
      <c r="C122" s="2" t="s">
        <v>46</v>
      </c>
      <c r="D122" s="2" t="s">
        <v>390</v>
      </c>
      <c r="E122" s="2" t="s">
        <v>395</v>
      </c>
      <c r="F122" s="2" t="s">
        <v>396</v>
      </c>
      <c r="G122" s="2" t="s">
        <v>15</v>
      </c>
      <c r="H122" s="2" t="s">
        <v>206</v>
      </c>
      <c r="I122" s="2" t="s">
        <v>66</v>
      </c>
      <c r="J122" s="5">
        <v>2.5</v>
      </c>
      <c r="K122" s="5"/>
    </row>
    <row r="123" spans="1:11" ht="15.75" customHeight="1" x14ac:dyDescent="0.3">
      <c r="A123" s="2">
        <v>122</v>
      </c>
      <c r="B123" s="4">
        <v>46422</v>
      </c>
      <c r="C123" s="2" t="s">
        <v>46</v>
      </c>
      <c r="D123" s="2" t="s">
        <v>390</v>
      </c>
      <c r="E123" s="2" t="s">
        <v>204</v>
      </c>
      <c r="F123" s="2" t="s">
        <v>397</v>
      </c>
      <c r="G123" s="2" t="s">
        <v>15</v>
      </c>
      <c r="H123" s="2" t="s">
        <v>206</v>
      </c>
      <c r="I123" s="2" t="s">
        <v>66</v>
      </c>
      <c r="J123" s="5">
        <v>2.5</v>
      </c>
      <c r="K123" s="5"/>
    </row>
    <row r="124" spans="1:11" ht="15.75" customHeight="1" x14ac:dyDescent="0.3">
      <c r="A124" s="2">
        <v>123</v>
      </c>
      <c r="B124" s="4">
        <v>46423</v>
      </c>
      <c r="C124" s="2" t="s">
        <v>46</v>
      </c>
      <c r="D124" s="2" t="s">
        <v>390</v>
      </c>
      <c r="E124" s="2" t="s">
        <v>398</v>
      </c>
      <c r="F124" s="2" t="s">
        <v>399</v>
      </c>
      <c r="G124" s="2" t="s">
        <v>15</v>
      </c>
      <c r="H124" s="2" t="s">
        <v>206</v>
      </c>
      <c r="I124" s="2" t="s">
        <v>66</v>
      </c>
      <c r="J124" s="5">
        <v>2.5</v>
      </c>
      <c r="K124" s="5"/>
    </row>
    <row r="125" spans="1:11" ht="15.75" customHeight="1" x14ac:dyDescent="0.3">
      <c r="A125" s="2">
        <v>124</v>
      </c>
      <c r="B125" s="4">
        <v>46424</v>
      </c>
      <c r="C125" s="2" t="s">
        <v>46</v>
      </c>
      <c r="D125" s="2" t="s">
        <v>390</v>
      </c>
      <c r="E125" s="2" t="s">
        <v>400</v>
      </c>
      <c r="F125" s="2" t="s">
        <v>401</v>
      </c>
      <c r="G125" s="2" t="s">
        <v>24</v>
      </c>
      <c r="H125" s="2" t="s">
        <v>206</v>
      </c>
      <c r="I125" s="2" t="s">
        <v>66</v>
      </c>
      <c r="J125" s="5">
        <v>2.5</v>
      </c>
      <c r="K125" s="5"/>
    </row>
    <row r="126" spans="1:11" ht="15.75" customHeight="1" x14ac:dyDescent="0.3">
      <c r="A126" s="2">
        <v>125</v>
      </c>
      <c r="B126" s="4">
        <v>46425</v>
      </c>
      <c r="C126" s="2" t="s">
        <v>46</v>
      </c>
      <c r="D126" s="2" t="s">
        <v>402</v>
      </c>
      <c r="E126" s="2" t="s">
        <v>403</v>
      </c>
      <c r="F126" s="2" t="s">
        <v>404</v>
      </c>
      <c r="G126" s="2" t="s">
        <v>24</v>
      </c>
      <c r="H126" s="2" t="s">
        <v>234</v>
      </c>
      <c r="I126" s="2" t="s">
        <v>66</v>
      </c>
      <c r="J126" s="5">
        <v>2.5</v>
      </c>
      <c r="K126" s="5"/>
    </row>
    <row r="127" spans="1:11" ht="15.75" customHeight="1" x14ac:dyDescent="0.3">
      <c r="A127" s="2">
        <v>126</v>
      </c>
      <c r="B127" s="4">
        <v>46426</v>
      </c>
      <c r="C127" s="2" t="s">
        <v>46</v>
      </c>
      <c r="D127" s="2" t="s">
        <v>303</v>
      </c>
      <c r="E127" s="2" t="s">
        <v>405</v>
      </c>
      <c r="F127" s="2" t="s">
        <v>406</v>
      </c>
      <c r="G127" s="2" t="s">
        <v>24</v>
      </c>
      <c r="H127" s="2"/>
      <c r="I127" s="2" t="s">
        <v>66</v>
      </c>
      <c r="J127" s="5">
        <v>3.5</v>
      </c>
      <c r="K127" s="5"/>
    </row>
    <row r="128" spans="1:11" ht="15.75" customHeight="1" x14ac:dyDescent="0.3">
      <c r="A128" s="2">
        <v>127</v>
      </c>
      <c r="B128" s="4">
        <v>46427</v>
      </c>
      <c r="C128" s="2" t="s">
        <v>46</v>
      </c>
      <c r="D128" s="2" t="s">
        <v>303</v>
      </c>
      <c r="E128" s="2" t="s">
        <v>407</v>
      </c>
      <c r="F128" s="2" t="s">
        <v>408</v>
      </c>
      <c r="G128" s="2" t="s">
        <v>24</v>
      </c>
      <c r="H128" s="2" t="s">
        <v>206</v>
      </c>
      <c r="I128" s="2" t="s">
        <v>66</v>
      </c>
      <c r="J128" s="5">
        <v>3.5</v>
      </c>
      <c r="K128" s="5"/>
    </row>
    <row r="129" spans="1:11" ht="15.75" customHeight="1" x14ac:dyDescent="0.3">
      <c r="A129" s="2">
        <v>128</v>
      </c>
      <c r="B129" s="4">
        <v>46428</v>
      </c>
      <c r="C129" s="2" t="s">
        <v>46</v>
      </c>
      <c r="D129" s="2" t="s">
        <v>355</v>
      </c>
      <c r="E129" s="2" t="s">
        <v>409</v>
      </c>
      <c r="F129" s="2" t="s">
        <v>410</v>
      </c>
      <c r="G129" s="2" t="s">
        <v>15</v>
      </c>
      <c r="H129" s="2"/>
      <c r="I129" s="2" t="s">
        <v>66</v>
      </c>
      <c r="J129" s="5">
        <v>2.5</v>
      </c>
      <c r="K129" s="5"/>
    </row>
    <row r="130" spans="1:11" ht="15.75" customHeight="1" x14ac:dyDescent="0.3">
      <c r="A130" s="2">
        <v>129</v>
      </c>
      <c r="B130" s="4">
        <v>46429</v>
      </c>
      <c r="C130" s="2" t="s">
        <v>46</v>
      </c>
      <c r="D130" s="2" t="s">
        <v>362</v>
      </c>
      <c r="E130" s="2" t="s">
        <v>411</v>
      </c>
      <c r="F130" s="2" t="s">
        <v>412</v>
      </c>
      <c r="G130" s="2" t="s">
        <v>15</v>
      </c>
      <c r="H130" s="2" t="s">
        <v>197</v>
      </c>
      <c r="I130" s="2" t="s">
        <v>66</v>
      </c>
      <c r="J130" s="5">
        <v>2.5</v>
      </c>
      <c r="K130" s="5"/>
    </row>
    <row r="131" spans="1:11" ht="15.75" customHeight="1" x14ac:dyDescent="0.3">
      <c r="A131" s="2">
        <v>130</v>
      </c>
      <c r="B131" s="4">
        <v>46430</v>
      </c>
      <c r="C131" s="2" t="s">
        <v>46</v>
      </c>
      <c r="D131" s="2" t="s">
        <v>413</v>
      </c>
      <c r="E131" s="2" t="s">
        <v>414</v>
      </c>
      <c r="F131" s="2" t="s">
        <v>415</v>
      </c>
      <c r="G131" s="2" t="s">
        <v>29</v>
      </c>
      <c r="H131" s="2" t="s">
        <v>206</v>
      </c>
      <c r="I131" s="2" t="s">
        <v>66</v>
      </c>
      <c r="J131" s="5">
        <v>2.5</v>
      </c>
      <c r="K131" s="5"/>
    </row>
    <row r="132" spans="1:11" ht="15.75" customHeight="1" x14ac:dyDescent="0.3">
      <c r="A132" s="2">
        <v>131</v>
      </c>
      <c r="B132" s="4">
        <v>46431</v>
      </c>
      <c r="C132" s="2" t="s">
        <v>46</v>
      </c>
      <c r="D132" s="2" t="s">
        <v>413</v>
      </c>
      <c r="E132" s="2" t="s">
        <v>388</v>
      </c>
      <c r="F132" s="2" t="s">
        <v>416</v>
      </c>
      <c r="G132" s="2" t="s">
        <v>29</v>
      </c>
      <c r="H132" s="2" t="s">
        <v>206</v>
      </c>
      <c r="I132" s="2" t="s">
        <v>66</v>
      </c>
      <c r="J132" s="5">
        <v>2.5</v>
      </c>
      <c r="K132" s="5"/>
    </row>
    <row r="133" spans="1:11" ht="15.75" customHeight="1" x14ac:dyDescent="0.3">
      <c r="A133" s="2">
        <v>132</v>
      </c>
      <c r="B133" s="4">
        <v>46432</v>
      </c>
      <c r="C133" s="2" t="s">
        <v>46</v>
      </c>
      <c r="D133" s="2" t="s">
        <v>413</v>
      </c>
      <c r="E133" s="2" t="s">
        <v>204</v>
      </c>
      <c r="F133" s="2" t="s">
        <v>417</v>
      </c>
      <c r="G133" s="2" t="s">
        <v>29</v>
      </c>
      <c r="H133" s="2" t="s">
        <v>206</v>
      </c>
      <c r="I133" s="2" t="s">
        <v>66</v>
      </c>
      <c r="J133" s="5">
        <v>2.5</v>
      </c>
      <c r="K133" s="5"/>
    </row>
    <row r="134" spans="1:11" ht="15.75" customHeight="1" x14ac:dyDescent="0.3">
      <c r="A134" s="2">
        <v>133</v>
      </c>
      <c r="B134" s="4">
        <v>46433</v>
      </c>
      <c r="C134" s="2" t="s">
        <v>46</v>
      </c>
      <c r="D134" s="2" t="s">
        <v>413</v>
      </c>
      <c r="E134" s="2" t="s">
        <v>418</v>
      </c>
      <c r="F134" s="2" t="s">
        <v>419</v>
      </c>
      <c r="G134" s="2" t="s">
        <v>37</v>
      </c>
      <c r="H134" s="2" t="s">
        <v>206</v>
      </c>
      <c r="I134" s="2" t="s">
        <v>66</v>
      </c>
      <c r="J134" s="5">
        <v>2.5</v>
      </c>
      <c r="K134" s="5"/>
    </row>
    <row r="135" spans="1:11" ht="15.75" customHeight="1" x14ac:dyDescent="0.3">
      <c r="A135" s="2">
        <v>134</v>
      </c>
      <c r="B135" s="4">
        <v>46434</v>
      </c>
      <c r="C135" s="2" t="s">
        <v>46</v>
      </c>
      <c r="D135" s="2" t="s">
        <v>413</v>
      </c>
      <c r="E135" s="2" t="s">
        <v>420</v>
      </c>
      <c r="F135" s="2" t="s">
        <v>421</v>
      </c>
      <c r="G135" s="2" t="s">
        <v>37</v>
      </c>
      <c r="H135" s="2" t="s">
        <v>206</v>
      </c>
      <c r="I135" s="2" t="s">
        <v>66</v>
      </c>
      <c r="J135" s="5">
        <v>2.5</v>
      </c>
      <c r="K135" s="5"/>
    </row>
    <row r="136" spans="1:11" ht="15.75" customHeight="1" x14ac:dyDescent="0.3">
      <c r="A136" s="2">
        <v>135</v>
      </c>
      <c r="B136" s="4">
        <v>46435</v>
      </c>
      <c r="C136" s="2" t="s">
        <v>46</v>
      </c>
      <c r="D136" s="2" t="s">
        <v>413</v>
      </c>
      <c r="E136" s="2" t="s">
        <v>422</v>
      </c>
      <c r="F136" s="2" t="s">
        <v>423</v>
      </c>
      <c r="G136" s="2" t="s">
        <v>37</v>
      </c>
      <c r="H136" s="2" t="s">
        <v>206</v>
      </c>
      <c r="I136" s="2" t="s">
        <v>66</v>
      </c>
      <c r="J136" s="5">
        <v>2.5</v>
      </c>
      <c r="K136" s="5"/>
    </row>
    <row r="137" spans="1:11" ht="15.75" customHeight="1" x14ac:dyDescent="0.3">
      <c r="A137" s="2">
        <v>136</v>
      </c>
      <c r="B137" s="4">
        <v>46436</v>
      </c>
      <c r="C137" s="2" t="s">
        <v>51</v>
      </c>
      <c r="D137" s="2" t="s">
        <v>413</v>
      </c>
      <c r="E137" s="2" t="s">
        <v>424</v>
      </c>
      <c r="F137" s="2" t="s">
        <v>425</v>
      </c>
      <c r="G137" s="2" t="s">
        <v>29</v>
      </c>
      <c r="H137" s="2" t="s">
        <v>206</v>
      </c>
      <c r="I137" s="2" t="s">
        <v>66</v>
      </c>
      <c r="J137" s="5">
        <v>2.5</v>
      </c>
      <c r="K137" s="5"/>
    </row>
    <row r="138" spans="1:11" ht="15.75" customHeight="1" x14ac:dyDescent="0.3">
      <c r="A138" s="2">
        <v>137</v>
      </c>
      <c r="B138" s="4">
        <v>46437</v>
      </c>
      <c r="C138" s="2" t="s">
        <v>51</v>
      </c>
      <c r="D138" s="2" t="s">
        <v>215</v>
      </c>
      <c r="E138" s="2" t="s">
        <v>426</v>
      </c>
      <c r="F138" s="2" t="s">
        <v>427</v>
      </c>
      <c r="G138" s="2" t="s">
        <v>29</v>
      </c>
      <c r="H138" s="2" t="s">
        <v>217</v>
      </c>
      <c r="I138" s="2" t="s">
        <v>66</v>
      </c>
      <c r="J138" s="5">
        <v>2.5</v>
      </c>
      <c r="K138" s="5"/>
    </row>
    <row r="139" spans="1:11" ht="15.75" customHeight="1" x14ac:dyDescent="0.3">
      <c r="A139" s="2">
        <v>138</v>
      </c>
      <c r="B139" s="4">
        <v>46438</v>
      </c>
      <c r="C139" s="2" t="s">
        <v>51</v>
      </c>
      <c r="D139" s="2" t="s">
        <v>215</v>
      </c>
      <c r="E139" s="2" t="s">
        <v>428</v>
      </c>
      <c r="F139" s="2" t="s">
        <v>429</v>
      </c>
      <c r="G139" s="2" t="s">
        <v>29</v>
      </c>
      <c r="H139" s="2" t="s">
        <v>217</v>
      </c>
      <c r="I139" s="2" t="s">
        <v>66</v>
      </c>
      <c r="J139" s="5">
        <v>2.5</v>
      </c>
      <c r="K139" s="5"/>
    </row>
    <row r="140" spans="1:11" ht="15.75" customHeight="1" x14ac:dyDescent="0.3">
      <c r="A140" s="2">
        <v>139</v>
      </c>
      <c r="B140" s="4">
        <v>46439</v>
      </c>
      <c r="C140" s="2" t="s">
        <v>51</v>
      </c>
      <c r="D140" s="2" t="s">
        <v>215</v>
      </c>
      <c r="E140" s="2" t="s">
        <v>430</v>
      </c>
      <c r="F140" s="2" t="s">
        <v>431</v>
      </c>
      <c r="G140" s="2" t="s">
        <v>29</v>
      </c>
      <c r="H140" s="2" t="s">
        <v>217</v>
      </c>
      <c r="I140" s="2" t="s">
        <v>66</v>
      </c>
      <c r="J140" s="5">
        <v>2.5</v>
      </c>
      <c r="K140" s="5"/>
    </row>
    <row r="141" spans="1:11" ht="15.75" customHeight="1" x14ac:dyDescent="0.3">
      <c r="A141" s="2">
        <v>140</v>
      </c>
      <c r="B141" s="4">
        <v>46440</v>
      </c>
      <c r="C141" s="2" t="s">
        <v>51</v>
      </c>
      <c r="D141" s="2" t="s">
        <v>215</v>
      </c>
      <c r="E141" s="2" t="s">
        <v>432</v>
      </c>
      <c r="F141" s="2" t="s">
        <v>433</v>
      </c>
      <c r="G141" s="2" t="s">
        <v>29</v>
      </c>
      <c r="H141" s="2" t="s">
        <v>217</v>
      </c>
      <c r="I141" s="2" t="s">
        <v>66</v>
      </c>
      <c r="J141" s="5">
        <v>2.5</v>
      </c>
      <c r="K141" s="5"/>
    </row>
    <row r="142" spans="1:11" ht="15.75" customHeight="1" x14ac:dyDescent="0.3">
      <c r="A142" s="2">
        <v>141</v>
      </c>
      <c r="B142" s="4">
        <v>46441</v>
      </c>
      <c r="C142" s="2" t="s">
        <v>51</v>
      </c>
      <c r="D142" s="2" t="s">
        <v>215</v>
      </c>
      <c r="E142" s="2" t="s">
        <v>434</v>
      </c>
      <c r="F142" s="2" t="s">
        <v>435</v>
      </c>
      <c r="G142" s="2" t="s">
        <v>29</v>
      </c>
      <c r="H142" s="2" t="s">
        <v>217</v>
      </c>
      <c r="I142" s="2" t="s">
        <v>66</v>
      </c>
      <c r="J142" s="5">
        <v>2.5</v>
      </c>
      <c r="K142" s="5"/>
    </row>
    <row r="143" spans="1:11" ht="15.75" customHeight="1" x14ac:dyDescent="0.3">
      <c r="A143" s="2">
        <v>142</v>
      </c>
      <c r="B143" s="4">
        <v>46442</v>
      </c>
      <c r="C143" s="2" t="s">
        <v>51</v>
      </c>
      <c r="D143" s="2" t="s">
        <v>215</v>
      </c>
      <c r="E143" s="2" t="s">
        <v>436</v>
      </c>
      <c r="F143" s="2" t="s">
        <v>437</v>
      </c>
      <c r="G143" s="2" t="s">
        <v>29</v>
      </c>
      <c r="H143" s="2" t="s">
        <v>217</v>
      </c>
      <c r="I143" s="2" t="s">
        <v>66</v>
      </c>
      <c r="J143" s="5">
        <v>2.5</v>
      </c>
      <c r="K143" s="5"/>
    </row>
    <row r="144" spans="1:11" ht="15.75" customHeight="1" x14ac:dyDescent="0.3">
      <c r="A144" s="2">
        <v>143</v>
      </c>
      <c r="B144" s="4">
        <v>46443</v>
      </c>
      <c r="C144" s="2" t="s">
        <v>51</v>
      </c>
      <c r="D144" s="2" t="s">
        <v>215</v>
      </c>
      <c r="E144" s="2" t="s">
        <v>438</v>
      </c>
      <c r="F144" s="2" t="s">
        <v>439</v>
      </c>
      <c r="G144" s="2" t="s">
        <v>32</v>
      </c>
      <c r="H144" s="2" t="s">
        <v>217</v>
      </c>
      <c r="I144" s="2" t="s">
        <v>66</v>
      </c>
      <c r="J144" s="5">
        <v>2.5</v>
      </c>
      <c r="K144" s="5"/>
    </row>
    <row r="145" spans="1:11" ht="15.75" customHeight="1" x14ac:dyDescent="0.3">
      <c r="A145" s="2">
        <v>144</v>
      </c>
      <c r="B145" s="4">
        <v>46444</v>
      </c>
      <c r="C145" s="2" t="s">
        <v>51</v>
      </c>
      <c r="D145" s="2" t="s">
        <v>413</v>
      </c>
      <c r="E145" s="2" t="s">
        <v>440</v>
      </c>
      <c r="F145" s="2" t="s">
        <v>441</v>
      </c>
      <c r="G145" s="2" t="s">
        <v>29</v>
      </c>
      <c r="H145" s="2" t="s">
        <v>206</v>
      </c>
      <c r="I145" s="2" t="s">
        <v>66</v>
      </c>
      <c r="J145" s="5">
        <v>2.5</v>
      </c>
      <c r="K145" s="5"/>
    </row>
    <row r="146" spans="1:11" ht="15.75" customHeight="1" x14ac:dyDescent="0.3">
      <c r="A146" s="2">
        <v>145</v>
      </c>
      <c r="B146" s="4">
        <v>46445</v>
      </c>
      <c r="C146" s="2" t="s">
        <v>51</v>
      </c>
      <c r="D146" s="2" t="s">
        <v>413</v>
      </c>
      <c r="E146" s="2" t="s">
        <v>351</v>
      </c>
      <c r="F146" s="2" t="s">
        <v>442</v>
      </c>
      <c r="G146" s="2" t="s">
        <v>37</v>
      </c>
      <c r="H146" s="2" t="s">
        <v>206</v>
      </c>
      <c r="I146" s="2" t="s">
        <v>66</v>
      </c>
      <c r="J146" s="5">
        <v>2.5</v>
      </c>
      <c r="K146" s="5"/>
    </row>
    <row r="147" spans="1:11" ht="15.75" customHeight="1" x14ac:dyDescent="0.3">
      <c r="A147" s="2">
        <v>146</v>
      </c>
      <c r="B147" s="4">
        <v>46446</v>
      </c>
      <c r="C147" s="2" t="s">
        <v>51</v>
      </c>
      <c r="D147" s="2" t="s">
        <v>413</v>
      </c>
      <c r="E147" s="2" t="s">
        <v>443</v>
      </c>
      <c r="F147" s="2" t="s">
        <v>444</v>
      </c>
      <c r="G147" s="2" t="s">
        <v>37</v>
      </c>
      <c r="H147" s="2" t="s">
        <v>206</v>
      </c>
      <c r="I147" s="2" t="s">
        <v>66</v>
      </c>
      <c r="J147" s="5">
        <v>2.5</v>
      </c>
      <c r="K147" s="5"/>
    </row>
    <row r="148" spans="1:11" ht="15.75" customHeight="1" x14ac:dyDescent="0.3">
      <c r="A148" s="2">
        <v>147</v>
      </c>
      <c r="B148" s="4">
        <v>46447</v>
      </c>
      <c r="C148" s="2" t="s">
        <v>51</v>
      </c>
      <c r="D148" s="2" t="s">
        <v>413</v>
      </c>
      <c r="E148" s="2" t="s">
        <v>445</v>
      </c>
      <c r="F148" s="2" t="s">
        <v>446</v>
      </c>
      <c r="G148" s="2" t="s">
        <v>37</v>
      </c>
      <c r="H148" s="2" t="s">
        <v>206</v>
      </c>
      <c r="I148" s="2" t="s">
        <v>66</v>
      </c>
      <c r="J148" s="5">
        <v>2.5</v>
      </c>
      <c r="K148" s="5"/>
    </row>
    <row r="149" spans="1:11" ht="15.75" customHeight="1" x14ac:dyDescent="0.3">
      <c r="A149" s="2">
        <v>148</v>
      </c>
      <c r="B149" s="4">
        <v>46448</v>
      </c>
      <c r="C149" s="2" t="s">
        <v>51</v>
      </c>
      <c r="D149" s="2" t="s">
        <v>413</v>
      </c>
      <c r="E149" s="2" t="s">
        <v>447</v>
      </c>
      <c r="F149" s="2" t="s">
        <v>448</v>
      </c>
      <c r="G149" s="2" t="s">
        <v>29</v>
      </c>
      <c r="H149" s="2" t="s">
        <v>206</v>
      </c>
      <c r="I149" s="2" t="s">
        <v>66</v>
      </c>
      <c r="J149" s="5">
        <v>2.5</v>
      </c>
      <c r="K149" s="5"/>
    </row>
    <row r="150" spans="1:11" ht="15.75" customHeight="1" x14ac:dyDescent="0.3">
      <c r="A150" s="2">
        <v>149</v>
      </c>
      <c r="B150" s="4">
        <v>46449</v>
      </c>
      <c r="C150" s="2" t="s">
        <v>51</v>
      </c>
      <c r="D150" s="2" t="s">
        <v>303</v>
      </c>
      <c r="E150" s="2" t="s">
        <v>449</v>
      </c>
      <c r="F150" s="2" t="s">
        <v>450</v>
      </c>
      <c r="G150" s="2" t="s">
        <v>29</v>
      </c>
      <c r="H150" s="2" t="s">
        <v>217</v>
      </c>
      <c r="I150" s="2" t="s">
        <v>66</v>
      </c>
      <c r="J150" s="5">
        <v>3.5</v>
      </c>
      <c r="K150" s="5"/>
    </row>
    <row r="151" spans="1:11" ht="15.75" customHeight="1" x14ac:dyDescent="0.3">
      <c r="A151" s="2">
        <v>150</v>
      </c>
      <c r="B151" s="4">
        <v>46450</v>
      </c>
      <c r="C151" s="2" t="s">
        <v>51</v>
      </c>
      <c r="D151" s="2" t="s">
        <v>303</v>
      </c>
      <c r="E151" s="2" t="s">
        <v>451</v>
      </c>
      <c r="F151" s="2" t="s">
        <v>452</v>
      </c>
      <c r="G151" s="2" t="s">
        <v>29</v>
      </c>
      <c r="H151" s="2" t="s">
        <v>217</v>
      </c>
      <c r="I151" s="2" t="s">
        <v>66</v>
      </c>
      <c r="J151" s="5">
        <v>3.5</v>
      </c>
      <c r="K151" s="5"/>
    </row>
    <row r="152" spans="1:11" ht="15.75" customHeight="1" x14ac:dyDescent="0.3">
      <c r="A152" s="2">
        <v>151</v>
      </c>
      <c r="B152" s="4">
        <v>46451</v>
      </c>
      <c r="C152" s="2" t="s">
        <v>51</v>
      </c>
      <c r="D152" s="2" t="s">
        <v>303</v>
      </c>
      <c r="E152" s="2" t="s">
        <v>453</v>
      </c>
      <c r="F152" s="2" t="s">
        <v>454</v>
      </c>
      <c r="G152" s="2" t="s">
        <v>32</v>
      </c>
      <c r="H152" s="2" t="s">
        <v>217</v>
      </c>
      <c r="I152" s="2" t="s">
        <v>66</v>
      </c>
      <c r="J152" s="5">
        <v>3.5</v>
      </c>
      <c r="K152" s="5"/>
    </row>
    <row r="153" spans="1:11" ht="15.75" customHeight="1" x14ac:dyDescent="0.3">
      <c r="A153" s="2">
        <v>152</v>
      </c>
      <c r="B153" s="4">
        <v>46452</v>
      </c>
      <c r="C153" s="2" t="s">
        <v>51</v>
      </c>
      <c r="D153" s="2" t="s">
        <v>355</v>
      </c>
      <c r="E153" s="2" t="s">
        <v>455</v>
      </c>
      <c r="F153" s="2" t="s">
        <v>456</v>
      </c>
      <c r="G153" s="2" t="s">
        <v>29</v>
      </c>
      <c r="H153" s="2" t="s">
        <v>206</v>
      </c>
      <c r="I153" s="2" t="s">
        <v>66</v>
      </c>
      <c r="J153" s="5">
        <v>2.5</v>
      </c>
      <c r="K153" s="5"/>
    </row>
    <row r="154" spans="1:11" ht="15.75" customHeight="1" x14ac:dyDescent="0.3">
      <c r="A154" s="2">
        <v>153</v>
      </c>
      <c r="B154" s="4">
        <v>46453</v>
      </c>
      <c r="C154" s="2" t="s">
        <v>51</v>
      </c>
      <c r="D154" s="2" t="s">
        <v>362</v>
      </c>
      <c r="E154" s="2" t="s">
        <v>457</v>
      </c>
      <c r="F154" s="2" t="s">
        <v>458</v>
      </c>
      <c r="G154" s="2" t="s">
        <v>29</v>
      </c>
      <c r="H154" s="2" t="s">
        <v>206</v>
      </c>
      <c r="I154" s="2" t="s">
        <v>66</v>
      </c>
      <c r="J154" s="5">
        <v>2.5</v>
      </c>
      <c r="K154" s="5"/>
    </row>
    <row r="155" spans="1:11" ht="15.75" customHeight="1" x14ac:dyDescent="0.3">
      <c r="A155" s="2">
        <v>154</v>
      </c>
      <c r="B155" s="4">
        <v>46454</v>
      </c>
      <c r="C155" s="2" t="s">
        <v>51</v>
      </c>
      <c r="D155" s="2" t="s">
        <v>226</v>
      </c>
      <c r="E155" s="2" t="s">
        <v>459</v>
      </c>
      <c r="F155" s="2" t="s">
        <v>460</v>
      </c>
      <c r="G155" s="2" t="s">
        <v>37</v>
      </c>
      <c r="H155" s="2" t="s">
        <v>228</v>
      </c>
      <c r="I155" s="2" t="s">
        <v>66</v>
      </c>
      <c r="J155" s="5">
        <v>2.5</v>
      </c>
      <c r="K155" s="5"/>
    </row>
    <row r="156" spans="1:11" ht="15.75" customHeight="1" x14ac:dyDescent="0.3">
      <c r="A156" s="2">
        <v>155</v>
      </c>
      <c r="B156" s="4">
        <v>46455</v>
      </c>
      <c r="C156" s="2" t="s">
        <v>51</v>
      </c>
      <c r="D156" s="2" t="s">
        <v>226</v>
      </c>
      <c r="E156" s="2" t="s">
        <v>461</v>
      </c>
      <c r="F156" s="2" t="s">
        <v>462</v>
      </c>
      <c r="G156" s="2" t="s">
        <v>37</v>
      </c>
      <c r="H156" s="2" t="s">
        <v>228</v>
      </c>
      <c r="I156" s="2" t="s">
        <v>66</v>
      </c>
      <c r="J156" s="5">
        <v>2.5</v>
      </c>
      <c r="K156" s="5"/>
    </row>
    <row r="157" spans="1:11" ht="15.75" customHeight="1" x14ac:dyDescent="0.3">
      <c r="A157" s="2">
        <v>156</v>
      </c>
      <c r="B157" s="4">
        <v>46456</v>
      </c>
      <c r="C157" s="2" t="s">
        <v>51</v>
      </c>
      <c r="D157" s="2" t="s">
        <v>226</v>
      </c>
      <c r="E157" s="2" t="s">
        <v>463</v>
      </c>
      <c r="F157" s="2" t="s">
        <v>464</v>
      </c>
      <c r="G157" s="2" t="s">
        <v>37</v>
      </c>
      <c r="H157" s="2" t="s">
        <v>228</v>
      </c>
      <c r="I157" s="2" t="s">
        <v>66</v>
      </c>
      <c r="J157" s="5">
        <v>2.5</v>
      </c>
      <c r="K157" s="5"/>
    </row>
    <row r="158" spans="1:11" ht="15.75" customHeight="1" x14ac:dyDescent="0.3">
      <c r="A158" s="2">
        <v>157</v>
      </c>
      <c r="B158" s="4">
        <v>46457</v>
      </c>
      <c r="C158" s="2" t="s">
        <v>51</v>
      </c>
      <c r="D158" s="2" t="s">
        <v>226</v>
      </c>
      <c r="E158" s="2" t="s">
        <v>465</v>
      </c>
      <c r="F158" s="2" t="s">
        <v>466</v>
      </c>
      <c r="G158" s="2" t="s">
        <v>37</v>
      </c>
      <c r="H158" s="2" t="s">
        <v>228</v>
      </c>
      <c r="I158" s="2" t="s">
        <v>66</v>
      </c>
      <c r="J158" s="5">
        <v>2.5</v>
      </c>
      <c r="K158" s="5"/>
    </row>
    <row r="159" spans="1:11" ht="15.75" customHeight="1" x14ac:dyDescent="0.3">
      <c r="A159" s="2">
        <v>158</v>
      </c>
      <c r="B159" s="4">
        <v>46458</v>
      </c>
      <c r="C159" s="2" t="s">
        <v>51</v>
      </c>
      <c r="D159" s="2" t="s">
        <v>226</v>
      </c>
      <c r="E159" s="2" t="s">
        <v>467</v>
      </c>
      <c r="F159" s="2" t="s">
        <v>468</v>
      </c>
      <c r="G159" s="2" t="s">
        <v>37</v>
      </c>
      <c r="H159" s="2" t="s">
        <v>228</v>
      </c>
      <c r="I159" s="2" t="s">
        <v>66</v>
      </c>
      <c r="J159" s="5">
        <v>2.5</v>
      </c>
      <c r="K159" s="5"/>
    </row>
    <row r="160" spans="1:11" ht="15.75" customHeight="1" x14ac:dyDescent="0.3">
      <c r="A160" s="2">
        <v>159</v>
      </c>
      <c r="B160" s="4">
        <v>46459</v>
      </c>
      <c r="C160" s="2" t="s">
        <v>51</v>
      </c>
      <c r="D160" s="2" t="s">
        <v>226</v>
      </c>
      <c r="E160" s="2" t="s">
        <v>469</v>
      </c>
      <c r="F160" s="2" t="s">
        <v>470</v>
      </c>
      <c r="G160" s="2" t="s">
        <v>37</v>
      </c>
      <c r="H160" s="2" t="s">
        <v>228</v>
      </c>
      <c r="I160" s="2" t="s">
        <v>66</v>
      </c>
      <c r="J160" s="5">
        <v>2.5</v>
      </c>
      <c r="K160" s="5"/>
    </row>
    <row r="161" spans="1:11" ht="15.75" customHeight="1" x14ac:dyDescent="0.3">
      <c r="A161" s="2">
        <v>160</v>
      </c>
      <c r="B161" s="4">
        <v>46460</v>
      </c>
      <c r="C161" s="2" t="s">
        <v>51</v>
      </c>
      <c r="D161" s="2" t="s">
        <v>226</v>
      </c>
      <c r="E161" s="2" t="s">
        <v>471</v>
      </c>
      <c r="F161" s="2" t="s">
        <v>472</v>
      </c>
      <c r="G161" s="2" t="s">
        <v>32</v>
      </c>
      <c r="H161" s="2" t="s">
        <v>228</v>
      </c>
      <c r="I161" s="2" t="s">
        <v>66</v>
      </c>
      <c r="J161" s="5">
        <v>2.5</v>
      </c>
      <c r="K161" s="5"/>
    </row>
    <row r="162" spans="1:11" ht="15.75" customHeight="1" x14ac:dyDescent="0.3">
      <c r="A162" s="2">
        <v>161</v>
      </c>
      <c r="B162" s="4">
        <v>46461</v>
      </c>
      <c r="C162" s="2" t="s">
        <v>56</v>
      </c>
      <c r="D162" s="2" t="s">
        <v>473</v>
      </c>
      <c r="E162" s="2" t="s">
        <v>474</v>
      </c>
      <c r="F162" s="2" t="s">
        <v>475</v>
      </c>
      <c r="G162" s="2" t="s">
        <v>32</v>
      </c>
      <c r="H162" s="2" t="s">
        <v>234</v>
      </c>
      <c r="I162" s="2" t="s">
        <v>66</v>
      </c>
      <c r="J162" s="5">
        <v>2.5</v>
      </c>
      <c r="K162" s="5"/>
    </row>
    <row r="163" spans="1:11" ht="15.75" customHeight="1" x14ac:dyDescent="0.3">
      <c r="A163" s="2">
        <v>162</v>
      </c>
      <c r="B163" s="4">
        <v>46462</v>
      </c>
      <c r="C163" s="2" t="s">
        <v>56</v>
      </c>
      <c r="D163" s="2" t="s">
        <v>473</v>
      </c>
      <c r="E163" s="2" t="s">
        <v>476</v>
      </c>
      <c r="F163" s="2" t="s">
        <v>477</v>
      </c>
      <c r="G163" s="2" t="s">
        <v>32</v>
      </c>
      <c r="H163" s="2" t="s">
        <v>234</v>
      </c>
      <c r="I163" s="2" t="s">
        <v>66</v>
      </c>
      <c r="J163" s="5">
        <v>2.5</v>
      </c>
      <c r="K163" s="5"/>
    </row>
    <row r="164" spans="1:11" ht="15.75" customHeight="1" x14ac:dyDescent="0.3">
      <c r="A164" s="2">
        <v>163</v>
      </c>
      <c r="B164" s="4">
        <v>46463</v>
      </c>
      <c r="C164" s="2" t="s">
        <v>56</v>
      </c>
      <c r="D164" s="2" t="s">
        <v>473</v>
      </c>
      <c r="E164" s="2" t="s">
        <v>478</v>
      </c>
      <c r="F164" s="2" t="s">
        <v>479</v>
      </c>
      <c r="G164" s="2" t="s">
        <v>29</v>
      </c>
      <c r="H164" s="2" t="s">
        <v>234</v>
      </c>
      <c r="I164" s="2" t="s">
        <v>66</v>
      </c>
      <c r="J164" s="5">
        <v>2.5</v>
      </c>
      <c r="K164" s="5"/>
    </row>
    <row r="165" spans="1:11" ht="15.75" customHeight="1" x14ac:dyDescent="0.3">
      <c r="A165" s="2">
        <v>164</v>
      </c>
      <c r="B165" s="4">
        <v>46464</v>
      </c>
      <c r="C165" s="2" t="s">
        <v>56</v>
      </c>
      <c r="D165" s="2" t="s">
        <v>473</v>
      </c>
      <c r="E165" s="2" t="s">
        <v>480</v>
      </c>
      <c r="F165" s="2" t="s">
        <v>481</v>
      </c>
      <c r="G165" s="2" t="s">
        <v>32</v>
      </c>
      <c r="H165" s="2" t="s">
        <v>234</v>
      </c>
      <c r="I165" s="2" t="s">
        <v>66</v>
      </c>
      <c r="J165" s="5">
        <v>2.5</v>
      </c>
      <c r="K165" s="5"/>
    </row>
    <row r="166" spans="1:11" ht="15.75" customHeight="1" x14ac:dyDescent="0.3">
      <c r="A166" s="2">
        <v>165</v>
      </c>
      <c r="B166" s="4">
        <v>46465</v>
      </c>
      <c r="C166" s="2" t="s">
        <v>56</v>
      </c>
      <c r="D166" s="2" t="s">
        <v>303</v>
      </c>
      <c r="E166" s="2" t="s">
        <v>482</v>
      </c>
      <c r="F166" s="2" t="s">
        <v>483</v>
      </c>
      <c r="G166" s="2" t="s">
        <v>37</v>
      </c>
      <c r="H166" s="2"/>
      <c r="I166" s="2" t="s">
        <v>66</v>
      </c>
      <c r="J166" s="5">
        <v>3.5</v>
      </c>
      <c r="K166" s="5"/>
    </row>
    <row r="167" spans="1:11" ht="15.75" customHeight="1" x14ac:dyDescent="0.3">
      <c r="A167" s="2">
        <v>166</v>
      </c>
      <c r="B167" s="4">
        <v>46466</v>
      </c>
      <c r="C167" s="2" t="s">
        <v>56</v>
      </c>
      <c r="D167" s="2" t="s">
        <v>303</v>
      </c>
      <c r="E167" s="2" t="s">
        <v>484</v>
      </c>
      <c r="F167" s="2" t="s">
        <v>485</v>
      </c>
      <c r="G167" s="2" t="s">
        <v>32</v>
      </c>
      <c r="H167" s="2"/>
      <c r="I167" s="2" t="s">
        <v>66</v>
      </c>
      <c r="J167" s="5">
        <v>3.5</v>
      </c>
      <c r="K167" s="5"/>
    </row>
    <row r="168" spans="1:11" ht="15.75" customHeight="1" x14ac:dyDescent="0.3">
      <c r="A168" s="2">
        <v>167</v>
      </c>
      <c r="B168" s="4">
        <v>46467</v>
      </c>
      <c r="C168" s="2" t="s">
        <v>56</v>
      </c>
      <c r="D168" s="2" t="s">
        <v>303</v>
      </c>
      <c r="E168" s="2" t="s">
        <v>486</v>
      </c>
      <c r="F168" s="2" t="s">
        <v>487</v>
      </c>
      <c r="G168" s="2" t="s">
        <v>32</v>
      </c>
      <c r="H168" s="2"/>
      <c r="I168" s="2" t="s">
        <v>66</v>
      </c>
      <c r="J168" s="5">
        <v>3.5</v>
      </c>
      <c r="K168" s="5"/>
    </row>
    <row r="169" spans="1:11" ht="15.75" customHeight="1" x14ac:dyDescent="0.3">
      <c r="A169" s="2">
        <v>168</v>
      </c>
      <c r="B169" s="4">
        <v>46468</v>
      </c>
      <c r="C169" s="2" t="s">
        <v>56</v>
      </c>
      <c r="D169" s="2" t="s">
        <v>303</v>
      </c>
      <c r="E169" s="2" t="s">
        <v>353</v>
      </c>
      <c r="F169" s="2" t="s">
        <v>488</v>
      </c>
      <c r="G169" s="2" t="s">
        <v>32</v>
      </c>
      <c r="H169" s="2"/>
      <c r="I169" s="2" t="s">
        <v>66</v>
      </c>
      <c r="J169" s="5">
        <v>3.5</v>
      </c>
      <c r="K169" s="5"/>
    </row>
    <row r="170" spans="1:11" ht="15.75" customHeight="1" x14ac:dyDescent="0.3">
      <c r="A170" s="2">
        <v>169</v>
      </c>
      <c r="B170" s="4">
        <v>46469</v>
      </c>
      <c r="C170" s="2" t="s">
        <v>56</v>
      </c>
      <c r="D170" s="2" t="s">
        <v>237</v>
      </c>
      <c r="E170" s="2" t="s">
        <v>489</v>
      </c>
      <c r="F170" s="2" t="s">
        <v>490</v>
      </c>
      <c r="G170" s="2" t="s">
        <v>32</v>
      </c>
      <c r="H170" s="2" t="s">
        <v>239</v>
      </c>
      <c r="I170" s="2" t="s">
        <v>66</v>
      </c>
      <c r="J170" s="5">
        <v>2.5</v>
      </c>
      <c r="K170" s="5"/>
    </row>
    <row r="171" spans="1:11" ht="15.75" customHeight="1" x14ac:dyDescent="0.3">
      <c r="A171" s="2">
        <v>170</v>
      </c>
      <c r="B171" s="4">
        <v>46470</v>
      </c>
      <c r="C171" s="2" t="s">
        <v>56</v>
      </c>
      <c r="D171" s="2" t="s">
        <v>237</v>
      </c>
      <c r="E171" s="2" t="s">
        <v>491</v>
      </c>
      <c r="F171" s="2" t="s">
        <v>492</v>
      </c>
      <c r="G171" s="2" t="s">
        <v>8</v>
      </c>
      <c r="H171" s="2" t="s">
        <v>239</v>
      </c>
      <c r="I171" s="2" t="s">
        <v>66</v>
      </c>
      <c r="J171" s="5">
        <v>2.5</v>
      </c>
      <c r="K171" s="5"/>
    </row>
    <row r="172" spans="1:11" ht="15.75" customHeight="1" x14ac:dyDescent="0.3">
      <c r="A172" s="2">
        <v>171</v>
      </c>
      <c r="B172" s="4">
        <v>46471</v>
      </c>
      <c r="C172" s="2" t="s">
        <v>56</v>
      </c>
      <c r="D172" s="2" t="s">
        <v>237</v>
      </c>
      <c r="E172" s="2" t="s">
        <v>493</v>
      </c>
      <c r="F172" s="2" t="s">
        <v>494</v>
      </c>
      <c r="G172" s="2" t="s">
        <v>32</v>
      </c>
      <c r="H172" s="2" t="s">
        <v>239</v>
      </c>
      <c r="I172" s="2" t="s">
        <v>66</v>
      </c>
      <c r="J172" s="5">
        <v>2.5</v>
      </c>
      <c r="K172" s="5"/>
    </row>
    <row r="173" spans="1:11" ht="15.75" customHeight="1" x14ac:dyDescent="0.3">
      <c r="A173" s="2">
        <v>172</v>
      </c>
      <c r="B173" s="4">
        <v>46472</v>
      </c>
      <c r="C173" s="2" t="s">
        <v>56</v>
      </c>
      <c r="D173" s="2" t="s">
        <v>237</v>
      </c>
      <c r="E173" s="2" t="s">
        <v>495</v>
      </c>
      <c r="F173" s="2" t="s">
        <v>496</v>
      </c>
      <c r="G173" s="2" t="s">
        <v>29</v>
      </c>
      <c r="H173" s="2" t="s">
        <v>239</v>
      </c>
      <c r="I173" s="2" t="s">
        <v>66</v>
      </c>
      <c r="J173" s="5">
        <v>2.5</v>
      </c>
      <c r="K173" s="5"/>
    </row>
    <row r="174" spans="1:11" ht="15.75" customHeight="1" x14ac:dyDescent="0.3">
      <c r="A174" s="2">
        <v>173</v>
      </c>
      <c r="B174" s="4">
        <v>46473</v>
      </c>
      <c r="C174" s="2" t="s">
        <v>56</v>
      </c>
      <c r="D174" s="2" t="s">
        <v>237</v>
      </c>
      <c r="E174" s="2" t="s">
        <v>497</v>
      </c>
      <c r="F174" s="2" t="s">
        <v>498</v>
      </c>
      <c r="G174" s="2" t="s">
        <v>37</v>
      </c>
      <c r="H174" s="2" t="s">
        <v>239</v>
      </c>
      <c r="I174" s="2" t="s">
        <v>66</v>
      </c>
      <c r="J174" s="5">
        <v>2.5</v>
      </c>
      <c r="K174" s="5"/>
    </row>
    <row r="175" spans="1:11" ht="15.75" customHeight="1" x14ac:dyDescent="0.3">
      <c r="A175" s="2">
        <v>174</v>
      </c>
      <c r="B175" s="4">
        <v>46474</v>
      </c>
      <c r="C175" s="2" t="s">
        <v>56</v>
      </c>
      <c r="D175" s="2" t="s">
        <v>355</v>
      </c>
      <c r="E175" s="2" t="s">
        <v>499</v>
      </c>
      <c r="F175" s="2" t="s">
        <v>500</v>
      </c>
      <c r="G175" s="2" t="s">
        <v>37</v>
      </c>
      <c r="H175" s="2"/>
      <c r="I175" s="2" t="s">
        <v>66</v>
      </c>
      <c r="J175" s="5">
        <v>2.5</v>
      </c>
      <c r="K175" s="5"/>
    </row>
    <row r="176" spans="1:11" ht="15.75" customHeight="1" x14ac:dyDescent="0.3">
      <c r="A176" s="2">
        <v>175</v>
      </c>
      <c r="B176" s="4">
        <v>46475</v>
      </c>
      <c r="C176" s="2" t="s">
        <v>56</v>
      </c>
      <c r="D176" s="2" t="s">
        <v>355</v>
      </c>
      <c r="E176" s="2" t="s">
        <v>499</v>
      </c>
      <c r="F176" s="2" t="s">
        <v>500</v>
      </c>
      <c r="G176" s="2" t="s">
        <v>37</v>
      </c>
      <c r="H176" s="2"/>
      <c r="I176" s="2" t="s">
        <v>66</v>
      </c>
      <c r="J176" s="5">
        <v>2.5</v>
      </c>
      <c r="K176" s="5"/>
    </row>
    <row r="177" spans="1:11" ht="15.75" customHeight="1" x14ac:dyDescent="0.3">
      <c r="A177" s="2">
        <v>176</v>
      </c>
      <c r="B177" s="4">
        <v>46476</v>
      </c>
      <c r="C177" s="2" t="s">
        <v>60</v>
      </c>
      <c r="D177" s="2" t="s">
        <v>355</v>
      </c>
      <c r="E177" s="2" t="s">
        <v>499</v>
      </c>
      <c r="F177" s="2" t="s">
        <v>500</v>
      </c>
      <c r="G177" s="2" t="s">
        <v>37</v>
      </c>
      <c r="H177" s="2"/>
      <c r="I177" s="2" t="s">
        <v>66</v>
      </c>
      <c r="J177" s="5">
        <v>2.5</v>
      </c>
      <c r="K177" s="5"/>
    </row>
    <row r="178" spans="1:11" ht="15.75" customHeight="1" x14ac:dyDescent="0.3">
      <c r="A178" s="2">
        <v>177</v>
      </c>
      <c r="B178" s="4">
        <v>46477</v>
      </c>
      <c r="C178" s="2" t="s">
        <v>60</v>
      </c>
      <c r="D178" s="2" t="s">
        <v>355</v>
      </c>
      <c r="E178" s="2" t="s">
        <v>499</v>
      </c>
      <c r="F178" s="2" t="s">
        <v>500</v>
      </c>
      <c r="G178" s="2" t="s">
        <v>37</v>
      </c>
      <c r="H178" s="2"/>
      <c r="I178" s="2" t="s">
        <v>66</v>
      </c>
      <c r="J178" s="5">
        <v>2.5</v>
      </c>
      <c r="K178" s="5"/>
    </row>
    <row r="179" spans="1:11" ht="15.75" customHeight="1" x14ac:dyDescent="0.3">
      <c r="A179" s="2">
        <v>178</v>
      </c>
      <c r="B179" s="4">
        <v>46478</v>
      </c>
      <c r="C179" s="2" t="s">
        <v>60</v>
      </c>
      <c r="D179" s="2" t="s">
        <v>355</v>
      </c>
      <c r="E179" s="2" t="s">
        <v>499</v>
      </c>
      <c r="F179" s="2" t="s">
        <v>500</v>
      </c>
      <c r="G179" s="2" t="s">
        <v>37</v>
      </c>
      <c r="H179" s="2"/>
      <c r="I179" s="2" t="s">
        <v>66</v>
      </c>
      <c r="J179" s="5">
        <v>2.5</v>
      </c>
      <c r="K179" s="5"/>
    </row>
    <row r="180" spans="1:11" ht="15.75" customHeight="1" x14ac:dyDescent="0.3">
      <c r="A180" s="2">
        <v>179</v>
      </c>
      <c r="B180" s="4">
        <v>46479</v>
      </c>
      <c r="C180" s="2" t="s">
        <v>60</v>
      </c>
      <c r="D180" s="2" t="s">
        <v>355</v>
      </c>
      <c r="E180" s="2" t="s">
        <v>499</v>
      </c>
      <c r="F180" s="2" t="s">
        <v>500</v>
      </c>
      <c r="G180" s="2" t="s">
        <v>37</v>
      </c>
      <c r="H180" s="2"/>
      <c r="I180" s="2" t="s">
        <v>66</v>
      </c>
      <c r="J180" s="5">
        <v>2.5</v>
      </c>
      <c r="K180" s="5"/>
    </row>
    <row r="181" spans="1:11" ht="15.75" customHeight="1" x14ac:dyDescent="0.3">
      <c r="A181" s="2">
        <v>180</v>
      </c>
      <c r="B181" s="4">
        <v>46480</v>
      </c>
      <c r="C181" s="2" t="s">
        <v>60</v>
      </c>
      <c r="D181" s="2" t="s">
        <v>355</v>
      </c>
      <c r="E181" s="2" t="s">
        <v>499</v>
      </c>
      <c r="F181" s="2" t="s">
        <v>500</v>
      </c>
      <c r="G181" s="2" t="s">
        <v>37</v>
      </c>
      <c r="H181" s="2"/>
      <c r="I181" s="2" t="s">
        <v>66</v>
      </c>
      <c r="J181" s="5">
        <v>2.5</v>
      </c>
      <c r="K181" s="5"/>
    </row>
    <row r="182" spans="1:11" ht="15.75" customHeight="1" x14ac:dyDescent="0.3"/>
    <row r="183" spans="1:11" ht="15.75" customHeight="1" x14ac:dyDescent="0.3"/>
    <row r="184" spans="1:11" ht="15.75" customHeight="1" x14ac:dyDescent="0.3"/>
    <row r="185" spans="1:11" ht="15.75" customHeight="1" x14ac:dyDescent="0.3"/>
    <row r="186" spans="1:11" ht="15.75" customHeight="1" x14ac:dyDescent="0.3"/>
    <row r="187" spans="1:11" ht="15.75" customHeight="1" x14ac:dyDescent="0.3"/>
    <row r="188" spans="1:11" ht="15.75" customHeight="1" x14ac:dyDescent="0.3"/>
    <row r="189" spans="1:11" ht="15.75" customHeight="1" x14ac:dyDescent="0.3"/>
    <row r="190" spans="1:11" ht="15.75" customHeight="1" x14ac:dyDescent="0.3"/>
    <row r="191" spans="1:11" ht="15.75" customHeight="1" x14ac:dyDescent="0.3"/>
    <row r="192" spans="1:11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L181" xr:uid="{00000000-0009-0000-0000-000001000000}"/>
  <conditionalFormatting sqref="H2:H181">
    <cfRule type="expression" dxfId="1" priority="1">
      <formula>H2="Done"</formula>
    </cfRule>
    <cfRule type="expression" dxfId="0" priority="2">
      <formula>H2="In Progress"</formula>
    </cfRule>
  </conditionalFormatting>
  <dataValidations count="1">
    <dataValidation type="list" allowBlank="1" sqref="H2:I181" xr:uid="{00000000-0002-0000-0100-000000000000}">
      <formula1>"Not Started,In Progress,Done,Skipped"</formula1>
    </dataValidation>
  </dataValidations>
  <hyperlinks>
    <hyperlink ref="G2" r:id="rId1" xr:uid="{AAD00D46-0D44-4D40-8FFE-B075CF174334}"/>
    <hyperlink ref="G3" r:id="rId2" xr:uid="{129C2FA7-245A-4755-9EA5-705E6942C6DB}"/>
    <hyperlink ref="H2" r:id="rId3" xr:uid="{3A0E8CEF-8345-454D-898C-319F32D3DD2B}"/>
    <hyperlink ref="H3" r:id="rId4" xr:uid="{47E6654B-8E47-446D-80FA-4DD7F6A25A4D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7" customWidth="1"/>
    <col min="2" max="2" width="12" customWidth="1"/>
    <col min="3" max="4" width="45" customWidth="1"/>
    <col min="5" max="26" width="8.6640625" customWidth="1"/>
  </cols>
  <sheetData>
    <row r="1" spans="1:4" ht="14.4" x14ac:dyDescent="0.3">
      <c r="A1" s="1" t="s">
        <v>2</v>
      </c>
      <c r="B1" s="1" t="s">
        <v>17</v>
      </c>
      <c r="C1" s="1" t="s">
        <v>19</v>
      </c>
      <c r="D1" s="1" t="s">
        <v>21</v>
      </c>
    </row>
    <row r="2" spans="1:4" ht="14.4" x14ac:dyDescent="0.3">
      <c r="A2" s="2" t="s">
        <v>27</v>
      </c>
      <c r="B2" s="2">
        <v>30</v>
      </c>
      <c r="C2" s="2" t="s">
        <v>31</v>
      </c>
      <c r="D2" s="2" t="s">
        <v>33</v>
      </c>
    </row>
    <row r="3" spans="1:4" ht="14.4" x14ac:dyDescent="0.3">
      <c r="A3" s="2" t="s">
        <v>36</v>
      </c>
      <c r="B3" s="2">
        <v>25</v>
      </c>
      <c r="C3" s="2" t="s">
        <v>38</v>
      </c>
      <c r="D3" s="2" t="s">
        <v>39</v>
      </c>
    </row>
    <row r="4" spans="1:4" ht="14.4" x14ac:dyDescent="0.3">
      <c r="A4" s="2" t="s">
        <v>40</v>
      </c>
      <c r="B4" s="2">
        <v>20</v>
      </c>
      <c r="C4" s="2" t="s">
        <v>41</v>
      </c>
      <c r="D4" s="2" t="s">
        <v>42</v>
      </c>
    </row>
    <row r="5" spans="1:4" ht="14.4" x14ac:dyDescent="0.3">
      <c r="A5" s="2" t="s">
        <v>43</v>
      </c>
      <c r="B5" s="2">
        <v>30</v>
      </c>
      <c r="C5" s="2" t="s">
        <v>44</v>
      </c>
      <c r="D5" s="2" t="s">
        <v>45</v>
      </c>
    </row>
    <row r="6" spans="1:4" ht="14.4" x14ac:dyDescent="0.3">
      <c r="A6" s="2" t="s">
        <v>46</v>
      </c>
      <c r="B6" s="2">
        <v>30</v>
      </c>
      <c r="C6" s="2" t="s">
        <v>47</v>
      </c>
      <c r="D6" s="2" t="s">
        <v>49</v>
      </c>
    </row>
    <row r="7" spans="1:4" ht="14.4" x14ac:dyDescent="0.3">
      <c r="A7" s="2" t="s">
        <v>51</v>
      </c>
      <c r="B7" s="2">
        <v>25</v>
      </c>
      <c r="C7" s="2" t="s">
        <v>52</v>
      </c>
      <c r="D7" s="2" t="s">
        <v>54</v>
      </c>
    </row>
    <row r="8" spans="1:4" ht="14.4" x14ac:dyDescent="0.3">
      <c r="A8" s="2" t="s">
        <v>56</v>
      </c>
      <c r="B8" s="2">
        <v>15</v>
      </c>
      <c r="C8" s="2" t="s">
        <v>58</v>
      </c>
      <c r="D8" s="2" t="s">
        <v>59</v>
      </c>
    </row>
    <row r="9" spans="1:4" ht="14.4" x14ac:dyDescent="0.3">
      <c r="A9" s="2" t="s">
        <v>60</v>
      </c>
      <c r="B9" s="2">
        <v>5</v>
      </c>
      <c r="C9" s="2" t="s">
        <v>61</v>
      </c>
      <c r="D9" s="2" t="s">
        <v>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D9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45" customWidth="1"/>
    <col min="3" max="26" width="8.6640625" customWidth="1"/>
  </cols>
  <sheetData>
    <row r="1" spans="1:2" ht="14.4" x14ac:dyDescent="0.3">
      <c r="A1" s="1" t="s">
        <v>0</v>
      </c>
      <c r="B1" s="1" t="s">
        <v>4</v>
      </c>
    </row>
    <row r="2" spans="1:2" ht="14.4" x14ac:dyDescent="0.3">
      <c r="A2" s="2" t="s">
        <v>5</v>
      </c>
      <c r="B2" s="2" t="s">
        <v>6</v>
      </c>
    </row>
    <row r="3" spans="1:2" ht="14.4" x14ac:dyDescent="0.3">
      <c r="A3" s="2" t="s">
        <v>7</v>
      </c>
      <c r="B3" s="2" t="s">
        <v>8</v>
      </c>
    </row>
    <row r="4" spans="1:2" ht="14.4" x14ac:dyDescent="0.3">
      <c r="A4" s="2" t="s">
        <v>9</v>
      </c>
      <c r="B4" s="2" t="s">
        <v>10</v>
      </c>
    </row>
    <row r="5" spans="1:2" ht="14.4" x14ac:dyDescent="0.3">
      <c r="A5" s="2" t="s">
        <v>12</v>
      </c>
      <c r="B5" s="2" t="s">
        <v>13</v>
      </c>
    </row>
    <row r="6" spans="1:2" ht="14.4" x14ac:dyDescent="0.3">
      <c r="A6" s="2" t="s">
        <v>14</v>
      </c>
      <c r="B6" s="2" t="s">
        <v>15</v>
      </c>
    </row>
    <row r="7" spans="1:2" ht="14.4" x14ac:dyDescent="0.3">
      <c r="A7" s="2" t="s">
        <v>23</v>
      </c>
      <c r="B7" s="2" t="s">
        <v>24</v>
      </c>
    </row>
    <row r="8" spans="1:2" ht="14.4" x14ac:dyDescent="0.3">
      <c r="A8" s="2" t="s">
        <v>26</v>
      </c>
      <c r="B8" s="2" t="s">
        <v>29</v>
      </c>
    </row>
    <row r="9" spans="1:2" ht="14.4" x14ac:dyDescent="0.3">
      <c r="A9" s="2" t="s">
        <v>30</v>
      </c>
      <c r="B9" s="2" t="s">
        <v>32</v>
      </c>
    </row>
    <row r="10" spans="1:2" ht="14.4" x14ac:dyDescent="0.3">
      <c r="A10" s="2" t="s">
        <v>35</v>
      </c>
      <c r="B10" s="2" t="s">
        <v>37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B10" xr:uid="{00000000-0009-0000-0000-000003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8" customWidth="1"/>
    <col min="2" max="2" width="20" customWidth="1"/>
    <col min="3" max="3" width="48" customWidth="1"/>
    <col min="4" max="4" width="65" customWidth="1"/>
    <col min="5" max="5" width="70" customWidth="1"/>
    <col min="6" max="26" width="8.6640625" customWidth="1"/>
  </cols>
  <sheetData>
    <row r="1" spans="1:5" ht="14.4" x14ac:dyDescent="0.3">
      <c r="A1" s="7" t="s">
        <v>2</v>
      </c>
      <c r="B1" s="7" t="s">
        <v>16</v>
      </c>
      <c r="C1" s="7" t="s">
        <v>151</v>
      </c>
      <c r="D1" s="7" t="s">
        <v>152</v>
      </c>
      <c r="E1" s="7" t="s">
        <v>153</v>
      </c>
    </row>
    <row r="2" spans="1:5" ht="14.4" x14ac:dyDescent="0.3">
      <c r="A2" s="2" t="s">
        <v>155</v>
      </c>
      <c r="B2" s="2" t="s">
        <v>5</v>
      </c>
      <c r="C2" s="2" t="s">
        <v>157</v>
      </c>
      <c r="D2" s="2" t="s">
        <v>158</v>
      </c>
      <c r="E2" s="2" t="s">
        <v>159</v>
      </c>
    </row>
    <row r="3" spans="1:5" ht="14.4" x14ac:dyDescent="0.3">
      <c r="A3" s="2" t="s">
        <v>155</v>
      </c>
      <c r="B3" s="2" t="s">
        <v>5</v>
      </c>
      <c r="C3" s="2" t="s">
        <v>160</v>
      </c>
      <c r="D3" s="2" t="s">
        <v>65</v>
      </c>
      <c r="E3" s="2" t="s">
        <v>161</v>
      </c>
    </row>
    <row r="4" spans="1:5" ht="14.4" x14ac:dyDescent="0.3">
      <c r="A4" s="2" t="s">
        <v>164</v>
      </c>
      <c r="B4" s="2" t="s">
        <v>9</v>
      </c>
      <c r="C4" s="2" t="s">
        <v>165</v>
      </c>
      <c r="D4" s="2" t="s">
        <v>166</v>
      </c>
      <c r="E4" s="2" t="s">
        <v>167</v>
      </c>
    </row>
    <row r="5" spans="1:5" ht="14.4" x14ac:dyDescent="0.3">
      <c r="A5" s="2" t="s">
        <v>164</v>
      </c>
      <c r="B5" s="2" t="s">
        <v>135</v>
      </c>
      <c r="C5" s="2" t="s">
        <v>168</v>
      </c>
      <c r="D5" s="2" t="s">
        <v>138</v>
      </c>
      <c r="E5" s="2" t="s">
        <v>169</v>
      </c>
    </row>
    <row r="6" spans="1:5" ht="14.4" x14ac:dyDescent="0.3">
      <c r="A6" s="2" t="s">
        <v>164</v>
      </c>
      <c r="B6" s="2" t="s">
        <v>7</v>
      </c>
      <c r="C6" s="2" t="s">
        <v>172</v>
      </c>
      <c r="D6" s="2" t="s">
        <v>120</v>
      </c>
      <c r="E6" s="2" t="s">
        <v>173</v>
      </c>
    </row>
    <row r="7" spans="1:5" ht="14.4" x14ac:dyDescent="0.3">
      <c r="A7" s="2" t="s">
        <v>174</v>
      </c>
      <c r="B7" s="2" t="s">
        <v>175</v>
      </c>
      <c r="C7" s="2" t="s">
        <v>176</v>
      </c>
      <c r="D7" s="2" t="s">
        <v>177</v>
      </c>
      <c r="E7" s="2" t="s">
        <v>178</v>
      </c>
    </row>
    <row r="8" spans="1:5" ht="14.4" x14ac:dyDescent="0.3">
      <c r="A8" s="2" t="s">
        <v>174</v>
      </c>
      <c r="B8" s="2" t="s">
        <v>180</v>
      </c>
      <c r="C8" s="2" t="s">
        <v>181</v>
      </c>
      <c r="D8" s="2" t="s">
        <v>182</v>
      </c>
      <c r="E8" s="2" t="s">
        <v>183</v>
      </c>
    </row>
    <row r="9" spans="1:5" ht="14.4" x14ac:dyDescent="0.3">
      <c r="A9" s="2" t="s">
        <v>184</v>
      </c>
      <c r="B9" s="2" t="s">
        <v>185</v>
      </c>
      <c r="C9" s="2" t="s">
        <v>186</v>
      </c>
      <c r="D9" s="2" t="s">
        <v>187</v>
      </c>
      <c r="E9" s="2" t="s">
        <v>188</v>
      </c>
    </row>
    <row r="10" spans="1:5" ht="14.4" x14ac:dyDescent="0.3">
      <c r="A10" s="2" t="s">
        <v>184</v>
      </c>
      <c r="B10" s="2" t="s">
        <v>185</v>
      </c>
      <c r="C10" s="2" t="s">
        <v>189</v>
      </c>
      <c r="D10" s="2" t="s">
        <v>190</v>
      </c>
      <c r="E10" s="2" t="s">
        <v>192</v>
      </c>
    </row>
    <row r="11" spans="1:5" ht="14.4" x14ac:dyDescent="0.3">
      <c r="A11" s="2" t="s">
        <v>194</v>
      </c>
      <c r="B11" s="2" t="s">
        <v>195</v>
      </c>
      <c r="C11" s="2" t="s">
        <v>196</v>
      </c>
      <c r="D11" s="2" t="s">
        <v>197</v>
      </c>
      <c r="E11" s="2" t="s">
        <v>198</v>
      </c>
    </row>
    <row r="12" spans="1:5" ht="14.4" x14ac:dyDescent="0.3">
      <c r="A12" s="2" t="s">
        <v>194</v>
      </c>
      <c r="B12" s="2" t="s">
        <v>23</v>
      </c>
      <c r="C12" s="2" t="s">
        <v>201</v>
      </c>
      <c r="D12" s="2" t="s">
        <v>202</v>
      </c>
      <c r="E12" s="2" t="s">
        <v>203</v>
      </c>
    </row>
    <row r="13" spans="1:5" ht="14.4" x14ac:dyDescent="0.3">
      <c r="A13" s="2" t="s">
        <v>194</v>
      </c>
      <c r="B13" s="2" t="s">
        <v>204</v>
      </c>
      <c r="C13" s="2" t="s">
        <v>205</v>
      </c>
      <c r="D13" s="2" t="s">
        <v>206</v>
      </c>
      <c r="E13" s="2" t="s">
        <v>207</v>
      </c>
    </row>
    <row r="14" spans="1:5" ht="14.4" x14ac:dyDescent="0.3">
      <c r="A14" s="2" t="s">
        <v>208</v>
      </c>
      <c r="B14" s="2" t="s">
        <v>209</v>
      </c>
      <c r="C14" s="2" t="s">
        <v>211</v>
      </c>
      <c r="D14" s="2" t="s">
        <v>213</v>
      </c>
      <c r="E14" s="2" t="s">
        <v>214</v>
      </c>
    </row>
    <row r="15" spans="1:5" ht="14.4" x14ac:dyDescent="0.3">
      <c r="A15" s="2" t="s">
        <v>208</v>
      </c>
      <c r="B15" s="2" t="s">
        <v>215</v>
      </c>
      <c r="C15" s="2" t="s">
        <v>216</v>
      </c>
      <c r="D15" s="2" t="s">
        <v>217</v>
      </c>
      <c r="E15" s="2" t="s">
        <v>218</v>
      </c>
    </row>
    <row r="16" spans="1:5" ht="14.4" x14ac:dyDescent="0.3">
      <c r="A16" s="2" t="s">
        <v>208</v>
      </c>
      <c r="B16" s="2" t="s">
        <v>219</v>
      </c>
      <c r="C16" s="2" t="s">
        <v>222</v>
      </c>
      <c r="D16" s="2" t="s">
        <v>223</v>
      </c>
      <c r="E16" s="2" t="s">
        <v>224</v>
      </c>
    </row>
    <row r="17" spans="1:5" ht="14.4" x14ac:dyDescent="0.3">
      <c r="A17" s="2" t="s">
        <v>225</v>
      </c>
      <c r="B17" s="2" t="s">
        <v>226</v>
      </c>
      <c r="C17" s="2" t="s">
        <v>227</v>
      </c>
      <c r="D17" s="2" t="s">
        <v>228</v>
      </c>
      <c r="E17" s="2" t="s">
        <v>229</v>
      </c>
    </row>
    <row r="18" spans="1:5" ht="14.4" x14ac:dyDescent="0.3">
      <c r="A18" s="2" t="s">
        <v>225</v>
      </c>
      <c r="B18" s="2" t="s">
        <v>230</v>
      </c>
      <c r="C18" s="2" t="s">
        <v>232</v>
      </c>
      <c r="D18" s="2" t="s">
        <v>234</v>
      </c>
      <c r="E18" s="2" t="s">
        <v>235</v>
      </c>
    </row>
    <row r="19" spans="1:5" ht="14.4" x14ac:dyDescent="0.3">
      <c r="A19" s="2" t="s">
        <v>236</v>
      </c>
      <c r="B19" s="2" t="s">
        <v>237</v>
      </c>
      <c r="C19" s="2" t="s">
        <v>238</v>
      </c>
      <c r="D19" s="2" t="s">
        <v>239</v>
      </c>
      <c r="E19" s="2" t="s">
        <v>240</v>
      </c>
    </row>
    <row r="21" spans="1:5" ht="15.75" customHeight="1" x14ac:dyDescent="0.3"/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9" xr:uid="{00000000-0009-0000-0000-000004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 Tracker</vt:lpstr>
      <vt:lpstr>Roadmap</vt:lpstr>
      <vt:lpstr>Resources</vt:lpstr>
      <vt:lpstr>YouTube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prasasd Mishra</cp:lastModifiedBy>
  <dcterms:modified xsi:type="dcterms:W3CDTF">2026-10-22T18:49:04Z</dcterms:modified>
</cp:coreProperties>
</file>